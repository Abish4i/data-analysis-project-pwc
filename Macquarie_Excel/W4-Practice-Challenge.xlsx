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HR Wages" sheetId="2" r:id="rId5"/>
  </sheets>
  <definedNames>
    <definedName name="Leave_Allowance">20</definedName>
    <definedName name="Overtime">'HR Wages'!#REF!</definedName>
    <definedName name="Overtime_Rate">'HR Wages'!#REF!</definedName>
    <definedName name="Hourly_Rate">'HR Wages'!$J$13:$J$47</definedName>
    <definedName name="Leave_Available">'HR Wages'!$H$13:$H$47</definedName>
    <definedName name="Department">'HR Wages'!$E$13:$E$47</definedName>
    <definedName name="Email">'HR Wages'!$D$13:$D$47</definedName>
    <definedName name="Emp_ID">'HR Wages'!$A$13:$A$47</definedName>
    <definedName name="Status">'HR Wages'!$B$13:$B$47</definedName>
    <definedName name="Departments">'HR Wages'!$H$4:$H$9</definedName>
    <definedName name="Full_Name">'HR Wages'!$C$13:$C$47</definedName>
  </definedNames>
  <calcPr/>
  <extLst>
    <ext uri="GoogleSheetsCustomDataVersion2">
      <go:sheetsCustomData xmlns:go="http://customooxmlschemas.google.com/" r:id="rId6" roundtripDataChecksum="UYGmdDy3b8xBbodb9lYUEuhsUhV3VBw9kOuNCSGKU0w="/>
    </ext>
  </extLst>
</workbook>
</file>

<file path=xl/sharedStrings.xml><?xml version="1.0" encoding="utf-8"?>
<sst xmlns="http://schemas.openxmlformats.org/spreadsheetml/2006/main" count="253" uniqueCount="176">
  <si>
    <t>Excel Skills for Data Analytics and Visualization</t>
  </si>
  <si>
    <t>Course 1 — Excel Fundamentals for Data Analysis</t>
  </si>
  <si>
    <t>Week 4 Practice Challenge</t>
  </si>
  <si>
    <t>Instructions</t>
  </si>
  <si>
    <r>
      <rPr>
        <rFont val="Calibri"/>
        <color theme="1"/>
      </rPr>
      <t xml:space="preserve">All the following instructions are to be carried out in the </t>
    </r>
    <r>
      <rPr>
        <rFont val="Calibri"/>
        <b/>
        <color theme="1"/>
        <sz val="11.0"/>
      </rPr>
      <t>HR Wages</t>
    </r>
    <r>
      <rPr>
        <rFont val="Calibri"/>
        <color theme="1"/>
        <sz val="11.0"/>
      </rPr>
      <t xml:space="preserve"> sheet. For help click on the </t>
    </r>
    <r>
      <rPr>
        <rFont val="Calibri"/>
        <b/>
        <color theme="1"/>
        <sz val="11.0"/>
      </rPr>
      <t>Hints</t>
    </r>
    <r>
      <rPr>
        <rFont val="Calibri"/>
        <color theme="1"/>
        <sz val="11.0"/>
      </rPr>
      <t xml:space="preserve"> to the right. </t>
    </r>
  </si>
  <si>
    <t>1a)</t>
  </si>
  <si>
    <t>Click somewhere in the employee data set and insert a table.</t>
  </si>
  <si>
    <t>b)</t>
  </si>
  <si>
    <r>
      <rPr>
        <rFont val="Calibri"/>
        <color theme="1"/>
      </rPr>
      <t xml:space="preserve">Rename the table to </t>
    </r>
    <r>
      <rPr>
        <rFont val="Calibri"/>
        <b/>
        <color theme="1"/>
        <sz val="11.0"/>
      </rPr>
      <t>tblStaff</t>
    </r>
    <r>
      <rPr>
        <rFont val="Calibri"/>
        <color theme="1"/>
        <sz val="11.0"/>
      </rPr>
      <t>.</t>
    </r>
  </si>
  <si>
    <t>2)</t>
  </si>
  <si>
    <r>
      <rPr>
        <rFont val="Calibri"/>
        <color theme="1"/>
      </rPr>
      <t xml:space="preserve">Change the table style to </t>
    </r>
    <r>
      <rPr>
        <rFont val="Calibri"/>
        <b/>
        <color theme="1"/>
        <sz val="11.0"/>
      </rPr>
      <t>Dark Red Table Style Medium 16</t>
    </r>
    <r>
      <rPr>
        <rFont val="Calibri"/>
        <color theme="1"/>
        <sz val="11.0"/>
      </rPr>
      <t>.</t>
    </r>
  </si>
  <si>
    <r>
      <rPr>
        <rFont val="Calibri"/>
        <color theme="1"/>
      </rPr>
      <t xml:space="preserve">Turn off </t>
    </r>
    <r>
      <rPr>
        <rFont val="Calibri"/>
        <b/>
        <color theme="1"/>
        <sz val="11.0"/>
      </rPr>
      <t>Banded Rows</t>
    </r>
    <r>
      <rPr>
        <rFont val="Calibri"/>
        <color theme="1"/>
        <sz val="11.0"/>
      </rPr>
      <t xml:space="preserve"> and turn on </t>
    </r>
    <r>
      <rPr>
        <rFont val="Calibri"/>
        <b/>
        <color theme="1"/>
        <sz val="11.0"/>
      </rPr>
      <t>Banded Columns</t>
    </r>
    <r>
      <rPr>
        <rFont val="Calibri"/>
        <color theme="1"/>
        <sz val="11.0"/>
      </rPr>
      <t>.</t>
    </r>
  </si>
  <si>
    <t>3)</t>
  </si>
  <si>
    <r>
      <rPr>
        <rFont val="Calibri"/>
        <color theme="1"/>
      </rPr>
      <t xml:space="preserve">Turn on the </t>
    </r>
    <r>
      <rPr>
        <rFont val="Calibri"/>
        <b/>
        <color theme="1"/>
        <sz val="11.0"/>
      </rPr>
      <t>Total Row</t>
    </r>
    <r>
      <rPr>
        <rFont val="Calibri"/>
        <color theme="1"/>
        <sz val="11.0"/>
      </rPr>
      <t xml:space="preserve"> and modify it to include </t>
    </r>
    <r>
      <rPr>
        <rFont val="Calibri"/>
        <b/>
        <color theme="1"/>
        <sz val="11.0"/>
      </rPr>
      <t>Total Days Sick</t>
    </r>
    <r>
      <rPr>
        <rFont val="Calibri"/>
        <color theme="1"/>
        <sz val="11.0"/>
      </rPr>
      <t xml:space="preserve"> and </t>
    </r>
    <r>
      <rPr>
        <rFont val="Calibri"/>
        <b/>
        <color theme="1"/>
        <sz val="11.0"/>
      </rPr>
      <t>Total Leave Available</t>
    </r>
    <r>
      <rPr>
        <rFont val="Calibri"/>
        <color theme="1"/>
        <sz val="11.0"/>
      </rPr>
      <t>.</t>
    </r>
  </si>
  <si>
    <t>4a)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</si>
  <si>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K13</t>
    </r>
    <r>
      <rPr>
        <rFont val="Calibri"/>
        <color theme="1"/>
        <sz val="11.0"/>
      </rPr>
      <t xml:space="preserve"> multiply the hours in </t>
    </r>
    <r>
      <rPr>
        <rFont val="Calibri"/>
        <b/>
        <color theme="1"/>
        <sz val="11.0"/>
      </rPr>
      <t>I13</t>
    </r>
    <r>
      <rPr>
        <rFont val="Calibri"/>
        <color theme="1"/>
        <sz val="11.0"/>
      </rPr>
      <t xml:space="preserve"> by the rate in </t>
    </r>
    <r>
      <rPr>
        <rFont val="Calibri"/>
        <b/>
        <color theme="1"/>
        <sz val="11.0"/>
      </rPr>
      <t>J13</t>
    </r>
    <r>
      <rPr>
        <rFont val="Calibri"/>
        <color theme="1"/>
        <sz val="11.0"/>
      </rPr>
      <t xml:space="preserve"> to get the week's pay. The table should auto extend and copy the formula down.</t>
    </r>
  </si>
  <si>
    <r>
      <rPr>
        <rFont val="Calibri"/>
        <color theme="1"/>
      </rPr>
      <t xml:space="preserve">Change the column heading to </t>
    </r>
    <r>
      <rPr>
        <rFont val="Calibri"/>
        <b/>
        <color theme="1"/>
        <sz val="11.0"/>
      </rPr>
      <t>Pay</t>
    </r>
    <r>
      <rPr>
        <rFont val="Calibri"/>
        <color theme="1"/>
        <sz val="11.0"/>
      </rPr>
      <t>.</t>
    </r>
  </si>
  <si>
    <t>c)</t>
  </si>
  <si>
    <r>
      <rPr>
        <rFont val="Calibri"/>
        <color theme="1"/>
      </rPr>
      <t xml:space="preserve">Change the </t>
    </r>
    <r>
      <rPr>
        <rFont val="Calibri"/>
        <b/>
        <color theme="1"/>
        <sz val="11.0"/>
      </rPr>
      <t>Total</t>
    </r>
    <r>
      <rPr>
        <rFont val="Calibri"/>
        <color theme="1"/>
        <sz val="11.0"/>
      </rPr>
      <t xml:space="preserve"> row to include total pay.</t>
    </r>
  </si>
  <si>
    <t>5)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</si>
  <si>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B10</t>
    </r>
    <r>
      <rPr>
        <rFont val="Calibri"/>
        <color theme="1"/>
        <sz val="11.0"/>
      </rPr>
      <t xml:space="preserve"> calculate the </t>
    </r>
    <r>
      <rPr>
        <rFont val="Calibri"/>
        <b/>
        <color theme="1"/>
        <sz val="11.0"/>
      </rPr>
      <t>Total Pay</t>
    </r>
    <r>
      <rPr>
        <rFont val="Calibri"/>
        <color theme="1"/>
        <sz val="11.0"/>
      </rPr>
      <t xml:space="preserve"> by adding the values in the new </t>
    </r>
    <r>
      <rPr>
        <rFont val="Calibri"/>
        <b/>
        <color theme="1"/>
        <sz val="11.0"/>
      </rPr>
      <t>Pay</t>
    </r>
    <r>
      <rPr>
        <rFont val="Calibri"/>
        <color theme="1"/>
        <sz val="11.0"/>
      </rPr>
      <t xml:space="preserve"> column. Select the data by clicking at the top of the column.</t>
    </r>
  </si>
  <si>
    <r>
      <rPr>
        <rFont val="Calibri"/>
        <color theme="1"/>
      </rPr>
      <t xml:space="preserve">(Note: Unlike the </t>
    </r>
    <r>
      <rPr>
        <rFont val="Calibri"/>
        <b/>
        <color theme="1"/>
        <sz val="11.0"/>
      </rPr>
      <t>Total</t>
    </r>
    <r>
      <rPr>
        <rFont val="Calibri"/>
        <color theme="1"/>
        <sz val="11.0"/>
      </rPr>
      <t xml:space="preserve"> row, this value will not adjust when the table is filtered.)</t>
    </r>
  </si>
  <si>
    <t>6)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</si>
  <si>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I4</t>
    </r>
    <r>
      <rPr>
        <rFont val="Calibri"/>
        <color theme="1"/>
        <sz val="11.0"/>
      </rPr>
      <t xml:space="preserve"> calculate how many staff are in the </t>
    </r>
    <r>
      <rPr>
        <rFont val="Calibri"/>
        <b/>
        <color theme="1"/>
        <sz val="11.0"/>
      </rPr>
      <t>Accounting</t>
    </r>
    <r>
      <rPr>
        <rFont val="Calibri"/>
        <color theme="1"/>
        <sz val="11.0"/>
      </rPr>
      <t xml:space="preserve"> department (use the named range). Copy Down.</t>
    </r>
  </si>
  <si>
    <t>Hint</t>
  </si>
  <si>
    <t>7a)</t>
  </si>
  <si>
    <r>
      <rPr>
        <rFont val="Calibri"/>
        <color theme="1"/>
      </rPr>
      <t xml:space="preserve">In </t>
    </r>
    <r>
      <rPr>
        <rFont val="Calibri"/>
        <b/>
        <color theme="1"/>
        <sz val="11.0"/>
      </rPr>
      <t>J4</t>
    </r>
    <r>
      <rPr>
        <rFont val="Calibri"/>
        <color theme="1"/>
        <sz val="11.0"/>
      </rPr>
      <t xml:space="preserve"> calculate the total days sick for the </t>
    </r>
    <r>
      <rPr>
        <rFont val="Calibri"/>
        <b/>
        <color theme="1"/>
        <sz val="11.0"/>
      </rPr>
      <t>Accounting</t>
    </r>
    <r>
      <rPr>
        <rFont val="Calibri"/>
        <color theme="1"/>
        <sz val="11.0"/>
      </rPr>
      <t xml:space="preserve"> department. Use a named range for department, but for </t>
    </r>
    <r>
      <rPr>
        <rFont val="Calibri"/>
        <b/>
        <color theme="1"/>
        <sz val="11.0"/>
      </rPr>
      <t>Days Sick</t>
    </r>
    <r>
      <rPr>
        <rFont val="Calibri"/>
        <color theme="1"/>
        <sz val="11.0"/>
      </rPr>
      <t xml:space="preserve"> you will need to select the table column.</t>
    </r>
  </si>
  <si>
    <r>
      <rPr>
        <rFont val="Calibri"/>
        <color theme="1"/>
      </rPr>
      <t xml:space="preserve">Change the cell reference for </t>
    </r>
    <r>
      <rPr>
        <rFont val="Calibri"/>
        <b/>
        <color theme="1"/>
        <sz val="11.0"/>
      </rPr>
      <t>H4</t>
    </r>
    <r>
      <rPr>
        <rFont val="Calibri"/>
        <color theme="1"/>
        <sz val="11.0"/>
      </rPr>
      <t xml:space="preserve"> to mixed so that the column is absolute but the row is relative. Copy the formula down and then across.</t>
    </r>
  </si>
  <si>
    <t>8a)</t>
  </si>
  <si>
    <r>
      <rPr>
        <rFont val="Calibri"/>
        <color theme="1"/>
      </rPr>
      <t xml:space="preserve">Convert the range </t>
    </r>
    <r>
      <rPr>
        <rFont val="Calibri"/>
        <b/>
        <color theme="1"/>
        <sz val="11.0"/>
      </rPr>
      <t>K3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H9</t>
    </r>
    <r>
      <rPr>
        <rFont val="Calibri"/>
        <color theme="1"/>
        <sz val="11.0"/>
      </rPr>
      <t xml:space="preserve"> to a table called </t>
    </r>
    <r>
      <rPr>
        <rFont val="Calibri"/>
        <b/>
        <color theme="1"/>
        <sz val="11.0"/>
      </rPr>
      <t>tblSummary</t>
    </r>
    <r>
      <rPr>
        <rFont val="Calibri"/>
        <color theme="1"/>
        <sz val="11.0"/>
      </rPr>
      <t>.</t>
    </r>
  </si>
  <si>
    <r>
      <rPr>
        <rFont val="Calibri"/>
        <color theme="1"/>
      </rPr>
      <t xml:space="preserve">In the </t>
    </r>
    <r>
      <rPr>
        <rFont val="Calibri"/>
        <b/>
        <color theme="1"/>
        <sz val="11.0"/>
      </rPr>
      <t>Table Style</t>
    </r>
    <r>
      <rPr>
        <rFont val="Calibri"/>
        <color theme="1"/>
        <sz val="11.0"/>
      </rPr>
      <t xml:space="preserve"> options switch off </t>
    </r>
    <r>
      <rPr>
        <rFont val="Calibri"/>
        <b/>
        <color theme="1"/>
        <sz val="11.0"/>
      </rPr>
      <t>Banded Rows</t>
    </r>
    <r>
      <rPr>
        <rFont val="Calibri"/>
        <color theme="1"/>
        <sz val="11.0"/>
      </rPr>
      <t xml:space="preserve"> and turn on </t>
    </r>
    <r>
      <rPr>
        <rFont val="Calibri"/>
        <b/>
        <color theme="1"/>
        <sz val="11.0"/>
      </rPr>
      <t>First Column</t>
    </r>
    <r>
      <rPr>
        <rFont val="Calibri"/>
        <color theme="1"/>
        <sz val="11.0"/>
      </rPr>
      <t>.</t>
    </r>
  </si>
  <si>
    <t>9)</t>
  </si>
  <si>
    <t>Apply Data Validation to the Department column so that users must select a department from the predefined named range “Departments.</t>
  </si>
  <si>
    <t>10a)</t>
  </si>
  <si>
    <r>
      <rPr>
        <rFont val="Calibri"/>
        <color theme="1"/>
      </rPr>
      <t xml:space="preserve">In cell </t>
    </r>
    <r>
      <rPr>
        <rFont val="Calibri"/>
        <b/>
        <color theme="1"/>
        <sz val="11.0"/>
      </rPr>
      <t>H10</t>
    </r>
    <r>
      <rPr>
        <rFont val="Calibri"/>
        <color theme="1"/>
        <sz val="11.0"/>
      </rPr>
      <t xml:space="preserve"> add </t>
    </r>
    <r>
      <rPr>
        <rFont val="Calibri"/>
        <b/>
        <color theme="1"/>
        <sz val="11.0"/>
      </rPr>
      <t>Marketing</t>
    </r>
    <r>
      <rPr>
        <rFont val="Calibri"/>
        <color theme="1"/>
        <sz val="11.0"/>
      </rPr>
      <t xml:space="preserve"> and press Enter. Note how the table extends down automatically.</t>
    </r>
  </si>
  <si>
    <r>
      <rPr>
        <rFont val="Calibri"/>
        <color theme="1"/>
      </rPr>
      <t xml:space="preserve">Use the updated drop down list to change </t>
    </r>
    <r>
      <rPr>
        <rFont val="Calibri"/>
        <b/>
        <color theme="1"/>
        <sz val="11.0"/>
      </rPr>
      <t>E15</t>
    </r>
    <r>
      <rPr>
        <rFont val="Calibri"/>
        <color theme="1"/>
        <sz val="11.0"/>
      </rPr>
      <t xml:space="preserve"> to </t>
    </r>
    <r>
      <rPr>
        <rFont val="Calibri"/>
        <b/>
        <color theme="1"/>
        <sz val="11.0"/>
      </rPr>
      <t>Marketing</t>
    </r>
    <r>
      <rPr>
        <rFont val="Calibri"/>
        <color theme="1"/>
        <sz val="11.0"/>
      </rPr>
      <t xml:space="preserve">. Note how the </t>
    </r>
    <r>
      <rPr>
        <rFont val="Calibri"/>
        <b/>
        <color theme="1"/>
        <sz val="11.0"/>
      </rPr>
      <t>Summary</t>
    </r>
    <r>
      <rPr>
        <rFont val="Calibri"/>
        <color theme="1"/>
        <sz val="11.0"/>
      </rPr>
      <t xml:space="preserve"> table automatically updates.</t>
    </r>
  </si>
  <si>
    <t>11)</t>
  </si>
  <si>
    <r>
      <rPr>
        <rFont val="Calibri"/>
        <color theme="1"/>
      </rPr>
      <t xml:space="preserve">Use the autofilter button to sort the data by </t>
    </r>
    <r>
      <rPr>
        <rFont val="Calibri"/>
        <b/>
        <color theme="1"/>
        <sz val="11.0"/>
      </rPr>
      <t>Pay</t>
    </r>
    <r>
      <rPr>
        <rFont val="Calibri"/>
        <color theme="1"/>
        <sz val="11.0"/>
      </rPr>
      <t xml:space="preserve"> (Largest to Smallest).</t>
    </r>
  </si>
  <si>
    <t>12a)</t>
  </si>
  <si>
    <r>
      <rPr>
        <rFont val="Calibri"/>
        <color theme="1"/>
      </rPr>
      <t xml:space="preserve">Use the autofilter buttons to filter the data to only show part-time sales staff. Type their total pay into </t>
    </r>
    <r>
      <rPr>
        <rFont val="Calibri"/>
        <b/>
        <color theme="1"/>
        <sz val="11.0"/>
      </rPr>
      <t>O39</t>
    </r>
    <r>
      <rPr>
        <rFont val="Calibri"/>
        <color theme="1"/>
        <sz val="11.0"/>
      </rPr>
      <t xml:space="preserve"> (on this sheet).</t>
    </r>
  </si>
  <si>
    <t>Clear all filters.</t>
  </si>
  <si>
    <t>13a)</t>
  </si>
  <si>
    <r>
      <rPr>
        <rFont val="Calibri"/>
        <color theme="1"/>
      </rPr>
      <t xml:space="preserve">Add two slicers, one for </t>
    </r>
    <r>
      <rPr>
        <rFont val="Calibri"/>
        <b/>
        <color theme="1"/>
        <sz val="11.0"/>
      </rPr>
      <t>Department</t>
    </r>
    <r>
      <rPr>
        <rFont val="Calibri"/>
        <color theme="1"/>
        <sz val="11.0"/>
      </rPr>
      <t xml:space="preserve"> and one for </t>
    </r>
    <r>
      <rPr>
        <rFont val="Calibri"/>
        <b/>
        <color theme="1"/>
        <sz val="11.0"/>
      </rPr>
      <t>Status</t>
    </r>
    <r>
      <rPr>
        <rFont val="Calibri"/>
        <color theme="1"/>
        <sz val="11.0"/>
      </rPr>
      <t>.</t>
    </r>
  </si>
  <si>
    <t>Apply styling to each, move them to above the Staff data and adjust the height so they fit nicely.</t>
  </si>
  <si>
    <t>14)</t>
  </si>
  <si>
    <r>
      <rPr>
        <rFont val="Calibri"/>
        <color theme="1"/>
      </rPr>
      <t xml:space="preserve">Use the slicers to filter the data to show full time </t>
    </r>
    <r>
      <rPr>
        <rFont val="Calibri"/>
        <b/>
        <color theme="1"/>
        <sz val="11.0"/>
      </rPr>
      <t>IT staff</t>
    </r>
    <r>
      <rPr>
        <rFont val="Calibri"/>
        <color theme="1"/>
        <sz val="11.0"/>
      </rPr>
      <t xml:space="preserve">. Type (don't copy/paste) their average hourly rate into </t>
    </r>
    <r>
      <rPr>
        <rFont val="Calibri"/>
        <b/>
        <color theme="1"/>
        <sz val="11.0"/>
      </rPr>
      <t>O45</t>
    </r>
    <r>
      <rPr>
        <rFont val="Calibri"/>
        <color theme="1"/>
        <sz val="11.0"/>
      </rPr>
      <t>.</t>
    </r>
  </si>
  <si>
    <t>The finished sheet should look something like this:</t>
  </si>
  <si>
    <t>ZenCo Staff Wages</t>
  </si>
  <si>
    <t>Departments</t>
  </si>
  <si>
    <t>Staff Number</t>
  </si>
  <si>
    <t>Total Days Sick</t>
  </si>
  <si>
    <t>Total Leave Taken</t>
  </si>
  <si>
    <t>Accounting</t>
  </si>
  <si>
    <t>Customer Service</t>
  </si>
  <si>
    <t>Executive</t>
  </si>
  <si>
    <t>Human Resources</t>
  </si>
  <si>
    <t>IT</t>
  </si>
  <si>
    <t>Sales</t>
  </si>
  <si>
    <t>Total Pay</t>
  </si>
  <si>
    <t>Emp ID</t>
  </si>
  <si>
    <t>Status</t>
  </si>
  <si>
    <t>Full Name</t>
  </si>
  <si>
    <t>Email</t>
  </si>
  <si>
    <t>Department</t>
  </si>
  <si>
    <t>Days Sick</t>
  </si>
  <si>
    <t>Leave Taken</t>
  </si>
  <si>
    <t>Leave Available</t>
  </si>
  <si>
    <t>Hours</t>
  </si>
  <si>
    <t>Hourly Rate</t>
  </si>
  <si>
    <t>F1003</t>
  </si>
  <si>
    <t>Full Time</t>
  </si>
  <si>
    <t>Eric Chung</t>
  </si>
  <si>
    <t>echung@zenco.com</t>
  </si>
  <si>
    <t>F1110</t>
  </si>
  <si>
    <t>Adam Barry</t>
  </si>
  <si>
    <t>abarry@zenco.com</t>
  </si>
  <si>
    <t>F1134</t>
  </si>
  <si>
    <t>Mary Ferris</t>
  </si>
  <si>
    <t>mferris@zenco.com</t>
  </si>
  <si>
    <t>F1150</t>
  </si>
  <si>
    <t>Susan Filosa</t>
  </si>
  <si>
    <t>sfilosa@zenco.com</t>
  </si>
  <si>
    <t>F1162</t>
  </si>
  <si>
    <t>Barbara Carlton</t>
  </si>
  <si>
    <t>bcarlton@zenco.com</t>
  </si>
  <si>
    <t>F1172</t>
  </si>
  <si>
    <t>Nicholas Fernandes</t>
  </si>
  <si>
    <t>nfernandes@zenco.com</t>
  </si>
  <si>
    <t>F1180</t>
  </si>
  <si>
    <t>Stevie Bacata</t>
  </si>
  <si>
    <t>sbacata@zenco.com</t>
  </si>
  <si>
    <t>F1186</t>
  </si>
  <si>
    <t>Janet Comuntzis</t>
  </si>
  <si>
    <t>jcomuntzis@zenco.com</t>
  </si>
  <si>
    <t>F1215</t>
  </si>
  <si>
    <t>Tina Desiato</t>
  </si>
  <si>
    <t>tdesiato@zenco.com</t>
  </si>
  <si>
    <t>F1224</t>
  </si>
  <si>
    <t>Jim Chaffee</t>
  </si>
  <si>
    <t>jchaffee@zenco.com</t>
  </si>
  <si>
    <t>F1232</t>
  </si>
  <si>
    <t>Connor Betts</t>
  </si>
  <si>
    <t>cbetts@zenco.com</t>
  </si>
  <si>
    <t>F1235</t>
  </si>
  <si>
    <t>Anna Clark</t>
  </si>
  <si>
    <t>aclark@zenco.com</t>
  </si>
  <si>
    <t>F1237</t>
  </si>
  <si>
    <t>Aanya Zhang</t>
  </si>
  <si>
    <t>azhang@zenco.com</t>
  </si>
  <si>
    <t>F1239</t>
  </si>
  <si>
    <t>Leighton Forrest</t>
  </si>
  <si>
    <t>lforrest@zenco.com</t>
  </si>
  <si>
    <t>F1246</t>
  </si>
  <si>
    <t>Mark Ellis</t>
  </si>
  <si>
    <t>mellis@zenco.com</t>
  </si>
  <si>
    <t>F1250</t>
  </si>
  <si>
    <t>Phoebe Gour</t>
  </si>
  <si>
    <t>pgour@zenco.com</t>
  </si>
  <si>
    <t>F1252</t>
  </si>
  <si>
    <t>Mei Wang</t>
  </si>
  <si>
    <t>mwang@zenco.com</t>
  </si>
  <si>
    <t>P1001</t>
  </si>
  <si>
    <t>Part Time</t>
  </si>
  <si>
    <t>Joe Carol</t>
  </si>
  <si>
    <t>jcarol@zenco.com</t>
  </si>
  <si>
    <t>P1004</t>
  </si>
  <si>
    <t>Daniel Flanders</t>
  </si>
  <si>
    <t>dflanders@zenco.com</t>
  </si>
  <si>
    <t>P1192</t>
  </si>
  <si>
    <t>Mihael Khan</t>
  </si>
  <si>
    <t>mkhan@zenco.com</t>
  </si>
  <si>
    <t>P1198</t>
  </si>
  <si>
    <t>Elizabeth Chu</t>
  </si>
  <si>
    <t>echu@zenco.com</t>
  </si>
  <si>
    <t>P1203</t>
  </si>
  <si>
    <t>Samantha Chairs</t>
  </si>
  <si>
    <t>schairs@zenco.com</t>
  </si>
  <si>
    <t>P1207</t>
  </si>
  <si>
    <t>Natasha Song</t>
  </si>
  <si>
    <t>nsong@zenco.com</t>
  </si>
  <si>
    <t>P1211</t>
  </si>
  <si>
    <t>Uma Chaudri</t>
  </si>
  <si>
    <t>uchaudri@zenco.com</t>
  </si>
  <si>
    <t>P1218</t>
  </si>
  <si>
    <t>Bob Decker</t>
  </si>
  <si>
    <t>bdecker@zenco.com</t>
  </si>
  <si>
    <t>P1221</t>
  </si>
  <si>
    <t>Sabrina Cole</t>
  </si>
  <si>
    <t>scole@zenco.com</t>
  </si>
  <si>
    <t>P1227</t>
  </si>
  <si>
    <t>Jim Boller</t>
  </si>
  <si>
    <t>jboller@zenco.com</t>
  </si>
  <si>
    <t>P1230</t>
  </si>
  <si>
    <t>Charlie Bui</t>
  </si>
  <si>
    <t>cbui@zenco.com</t>
  </si>
  <si>
    <t>P1241</t>
  </si>
  <si>
    <t>Alexandra Donnell</t>
  </si>
  <si>
    <t>adonnell@zenco.com</t>
  </si>
  <si>
    <t>P1243</t>
  </si>
  <si>
    <t>Fred Binga</t>
  </si>
  <si>
    <t>fbinga@zenco.com</t>
  </si>
  <si>
    <t>P1244</t>
  </si>
  <si>
    <t>Radhya Staples</t>
  </si>
  <si>
    <t>rstaples@zenco.com</t>
  </si>
  <si>
    <t>P1245</t>
  </si>
  <si>
    <t>Preston Senome</t>
  </si>
  <si>
    <t>psenome@zenco.com</t>
  </si>
  <si>
    <t>P1248</t>
  </si>
  <si>
    <t>Yvette Biti</t>
  </si>
  <si>
    <t>ybiti@zenco.com</t>
  </si>
  <si>
    <t>P1249</t>
  </si>
  <si>
    <t>Sean Sanders</t>
  </si>
  <si>
    <t>ssanders@zenco.com</t>
  </si>
  <si>
    <t>P1253</t>
  </si>
  <si>
    <t>Elizabeth Clark</t>
  </si>
  <si>
    <t>eclark@zenco.com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</si>
</sst>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/>
    <font>
      <sz val="14.0"/>
      <color theme="1"/>
      <name val="Calibri"/>
    </font>
    <font>
      <color theme="1"/>
      <name val="Calibri"/>
      <scheme val="minor"/>
    </font>
    <font>
      <sz val="11.0"/>
      <color rgb="FFC00000"/>
      <name val="Calibri"/>
    </font>
    <font>
      <b/>
      <sz val="11.0"/>
      <color rgb="FF3F3F3F"/>
      <name val="Calibri"/>
    </font>
    <font>
      <sz val="18.0"/>
      <color theme="0"/>
      <name val="Calibri"/>
    </font>
    <font>
      <sz val="11.0"/>
      <color theme="0"/>
      <name val="Calibri"/>
    </font>
    <font>
      <b/>
      <sz val="11.0"/>
      <color theme="1"/>
      <name val="Calibri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6" numFmtId="0" xfId="0" applyAlignment="1" applyBorder="1" applyFont="1">
      <alignment horizontal="left"/>
    </xf>
    <xf borderId="4" fillId="0" fontId="1" numFmtId="0" xfId="0" applyBorder="1" applyFont="1"/>
    <xf borderId="4" fillId="0" fontId="1" numFmtId="0" xfId="0" applyAlignment="1" applyBorder="1" applyFont="1">
      <alignment horizontal="right"/>
    </xf>
    <xf borderId="0" fillId="0" fontId="7" numFmtId="0" xfId="0" applyFont="1"/>
    <xf borderId="0" fillId="0" fontId="8" numFmtId="0" xfId="0" applyAlignment="1" applyFont="1">
      <alignment horizontal="right"/>
    </xf>
    <xf borderId="0" fillId="0" fontId="7" numFmtId="0" xfId="0" applyAlignment="1" applyFont="1">
      <alignment readingOrder="0"/>
    </xf>
    <xf borderId="5" fillId="2" fontId="9" numFmtId="164" xfId="0" applyBorder="1" applyFont="1" applyNumberFormat="1"/>
    <xf borderId="0" fillId="0" fontId="1" numFmtId="0" xfId="0" applyAlignment="1" applyFont="1">
      <alignment horizontal="left"/>
    </xf>
    <xf borderId="6" fillId="3" fontId="10" numFmtId="0" xfId="0" applyAlignment="1" applyBorder="1" applyFill="1" applyFont="1">
      <alignment horizontal="left"/>
    </xf>
    <xf borderId="6" fillId="3" fontId="11" numFmtId="0" xfId="0" applyBorder="1" applyFont="1"/>
    <xf borderId="0" fillId="0" fontId="1" numFmtId="0" xfId="0" applyFont="1"/>
    <xf borderId="0" fillId="0" fontId="12" numFmtId="0" xfId="0" applyFont="1"/>
    <xf borderId="0" fillId="0" fontId="13" numFmtId="0" xfId="0" applyFont="1"/>
    <xf borderId="0" fillId="0" fontId="7" numFmtId="0" xfId="0" applyFont="1"/>
    <xf borderId="0" fillId="0" fontId="1" numFmtId="1" xfId="0" applyFont="1" applyNumberFormat="1"/>
    <xf borderId="0" fillId="0" fontId="1" numFmtId="0" xfId="0" applyFont="1"/>
    <xf borderId="6" fillId="4" fontId="11" numFmtId="0" xfId="0" applyBorder="1" applyFill="1" applyFont="1"/>
    <xf borderId="7" fillId="0" fontId="1" numFmtId="164" xfId="0" applyBorder="1" applyFont="1" applyNumberFormat="1"/>
    <xf borderId="0" fillId="0" fontId="1" numFmtId="1" xfId="0" applyFont="1" applyNumberFormat="1"/>
    <xf borderId="0" fillId="0" fontId="12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CC0D1"/>
          <bgColor rgb="FFFCC0D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R Wag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0" cy="1362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142875</xdr:rowOff>
    </xdr:from>
    <xdr:ext cx="9220200" cy="28860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H3:K9" displayName="Table_1" name="Table_1" id="1">
  <tableColumns count="4">
    <tableColumn name="Departments" id="1"/>
    <tableColumn name="Staff Number" id="2"/>
    <tableColumn name="Total Days Sick" id="3"/>
    <tableColumn name="Total Leave Taken" id="4"/>
  </tableColumns>
  <tableStyleInfo name="HR Wa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4.43"/>
    <col customWidth="1" min="3" max="7" width="8.71"/>
    <col customWidth="1" min="8" max="8" width="12.57"/>
    <col customWidth="1" min="9" max="14" width="8.71"/>
    <col customWidth="1" min="15" max="15" width="22.43"/>
    <col customWidth="1" min="16" max="16" width="9.29"/>
    <col customWidth="1" min="17" max="26" width="8.71"/>
  </cols>
  <sheetData>
    <row r="1" ht="14.25" customHeight="1">
      <c r="B1" s="1"/>
      <c r="P1" s="1"/>
    </row>
    <row r="2" ht="14.25" customHeight="1">
      <c r="B2" s="1"/>
      <c r="I2" s="2" t="s">
        <v>0</v>
      </c>
    </row>
    <row r="3" ht="14.25" customHeight="1">
      <c r="B3" s="1"/>
      <c r="I3" s="3" t="s">
        <v>1</v>
      </c>
    </row>
    <row r="4" ht="17.25" customHeight="1">
      <c r="B4" s="1"/>
      <c r="P4" s="1"/>
    </row>
    <row r="5" ht="21.0" customHeight="1">
      <c r="B5" s="1"/>
      <c r="I5" s="4" t="s">
        <v>2</v>
      </c>
      <c r="J5" s="5"/>
      <c r="K5" s="5"/>
      <c r="L5" s="5"/>
      <c r="M5" s="5"/>
      <c r="N5" s="5"/>
      <c r="O5" s="5"/>
      <c r="P5" s="6"/>
    </row>
    <row r="6" ht="14.25" customHeight="1">
      <c r="B6" s="1"/>
      <c r="P6" s="1"/>
    </row>
    <row r="7" ht="14.25" customHeight="1">
      <c r="B7" s="1"/>
      <c r="P7" s="1"/>
    </row>
    <row r="8" ht="14.25" customHeight="1">
      <c r="B8" s="7" t="s">
        <v>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ht="18.75" customHeight="1">
      <c r="B9" s="10" t="s">
        <v>4</v>
      </c>
      <c r="P9" s="1"/>
    </row>
    <row r="10" ht="8.25" customHeight="1">
      <c r="B10" s="1"/>
      <c r="P10" s="1"/>
    </row>
    <row r="11" ht="14.25" customHeight="1">
      <c r="B11" s="1" t="s">
        <v>5</v>
      </c>
      <c r="C11" s="10" t="s">
        <v>6</v>
      </c>
      <c r="P11" s="1"/>
    </row>
    <row r="12" ht="14.25" customHeight="1">
      <c r="B12" s="1" t="s">
        <v>7</v>
      </c>
      <c r="C12" s="10" t="s">
        <v>8</v>
      </c>
      <c r="P12" s="1"/>
    </row>
    <row r="13" ht="8.25" customHeight="1">
      <c r="B13" s="1"/>
      <c r="P13" s="1"/>
    </row>
    <row r="14" ht="14.25" customHeight="1">
      <c r="B14" s="1" t="s">
        <v>9</v>
      </c>
      <c r="C14" s="10" t="s">
        <v>10</v>
      </c>
      <c r="P14" s="1"/>
    </row>
    <row r="15" ht="14.25" customHeight="1">
      <c r="B15" s="1" t="s">
        <v>7</v>
      </c>
      <c r="C15" s="10" t="s">
        <v>11</v>
      </c>
      <c r="P15" s="1"/>
    </row>
    <row r="16" ht="8.25" customHeight="1">
      <c r="B16" s="1"/>
      <c r="P16" s="1"/>
    </row>
    <row r="17" ht="14.25" customHeight="1">
      <c r="B17" s="1" t="s">
        <v>12</v>
      </c>
      <c r="C17" s="10" t="s">
        <v>13</v>
      </c>
      <c r="P17" s="1"/>
    </row>
    <row r="18" ht="8.25" customHeight="1">
      <c r="B18" s="1"/>
      <c r="P18" s="1"/>
    </row>
    <row r="19" ht="14.25" customHeight="1">
      <c r="B19" s="1" t="s">
        <v>14</v>
      </c>
      <c r="C19" s="10" t="s">
        <v>15</v>
      </c>
      <c r="P19" s="1"/>
    </row>
    <row r="20" ht="14.25" customHeight="1">
      <c r="B20" s="1" t="s">
        <v>7</v>
      </c>
      <c r="C20" s="10" t="s">
        <v>16</v>
      </c>
      <c r="P20" s="1"/>
    </row>
    <row r="21" ht="14.25" customHeight="1">
      <c r="B21" s="1" t="s">
        <v>17</v>
      </c>
      <c r="C21" s="10" t="s">
        <v>18</v>
      </c>
      <c r="P21" s="1"/>
    </row>
    <row r="22" ht="8.25" customHeight="1">
      <c r="B22" s="1"/>
      <c r="P22" s="1"/>
    </row>
    <row r="23" ht="14.25" customHeight="1">
      <c r="B23" s="1" t="s">
        <v>19</v>
      </c>
      <c r="C23" s="10" t="s">
        <v>20</v>
      </c>
      <c r="P23" s="1"/>
    </row>
    <row r="24" ht="14.25" customHeight="1">
      <c r="B24" s="1"/>
      <c r="C24" s="10" t="s">
        <v>21</v>
      </c>
      <c r="P24" s="1"/>
    </row>
    <row r="25" ht="8.25" customHeight="1">
      <c r="B25" s="1"/>
      <c r="P25" s="1"/>
    </row>
    <row r="26" ht="14.25" customHeight="1">
      <c r="B26" s="1" t="s">
        <v>22</v>
      </c>
      <c r="C26" s="10" t="s">
        <v>23</v>
      </c>
      <c r="P26" s="11" t="s">
        <v>24</v>
      </c>
    </row>
    <row r="27" ht="8.25" customHeight="1">
      <c r="B27" s="1"/>
      <c r="P27" s="1"/>
    </row>
    <row r="28" ht="14.25" customHeight="1">
      <c r="B28" s="1" t="s">
        <v>25</v>
      </c>
      <c r="C28" s="10" t="s">
        <v>26</v>
      </c>
      <c r="P28" s="11" t="s">
        <v>24</v>
      </c>
    </row>
    <row r="29" ht="14.25" customHeight="1">
      <c r="B29" s="1" t="s">
        <v>7</v>
      </c>
      <c r="C29" s="10" t="s">
        <v>27</v>
      </c>
      <c r="P29" s="11" t="s">
        <v>24</v>
      </c>
    </row>
    <row r="30" ht="8.25" customHeight="1">
      <c r="B30" s="1"/>
      <c r="P30" s="1"/>
    </row>
    <row r="31" ht="14.25" customHeight="1">
      <c r="B31" s="1" t="s">
        <v>28</v>
      </c>
      <c r="C31" s="10" t="s">
        <v>29</v>
      </c>
      <c r="P31" s="1"/>
    </row>
    <row r="32" ht="14.25" customHeight="1">
      <c r="B32" s="1" t="s">
        <v>7</v>
      </c>
      <c r="C32" s="10" t="s">
        <v>30</v>
      </c>
      <c r="P32" s="1"/>
    </row>
    <row r="33" ht="8.25" customHeight="1">
      <c r="B33" s="1"/>
      <c r="P33" s="1"/>
    </row>
    <row r="34" ht="14.25" customHeight="1">
      <c r="B34" s="1" t="s">
        <v>31</v>
      </c>
      <c r="C34" s="12" t="s">
        <v>32</v>
      </c>
      <c r="P34" s="1"/>
    </row>
    <row r="35" ht="8.25" customHeight="1">
      <c r="B35" s="1"/>
      <c r="P35" s="1"/>
    </row>
    <row r="36" ht="14.25" customHeight="1">
      <c r="B36" s="1" t="s">
        <v>33</v>
      </c>
      <c r="C36" s="10" t="s">
        <v>34</v>
      </c>
      <c r="P36" s="1"/>
    </row>
    <row r="37" ht="14.25" customHeight="1">
      <c r="B37" s="1" t="s">
        <v>7</v>
      </c>
      <c r="C37" s="10" t="s">
        <v>35</v>
      </c>
      <c r="P37" s="1"/>
    </row>
    <row r="38" ht="8.25" customHeight="1">
      <c r="B38" s="1"/>
      <c r="P38" s="1"/>
    </row>
    <row r="39" ht="14.25" customHeight="1">
      <c r="B39" s="1" t="s">
        <v>36</v>
      </c>
      <c r="C39" s="10" t="s">
        <v>37</v>
      </c>
      <c r="P39" s="1"/>
    </row>
    <row r="40" ht="8.25" customHeight="1">
      <c r="B40" s="1"/>
      <c r="P40" s="1"/>
    </row>
    <row r="41" ht="14.25" customHeight="1">
      <c r="B41" s="1" t="s">
        <v>38</v>
      </c>
      <c r="C41" s="10" t="s">
        <v>39</v>
      </c>
      <c r="O41" s="13">
        <v>0.0</v>
      </c>
      <c r="P41" s="1">
        <f>IF(O41=0,0,IF(O41=20887.5,1,2))</f>
        <v>0</v>
      </c>
    </row>
    <row r="42" ht="14.25" customHeight="1">
      <c r="B42" s="1" t="s">
        <v>7</v>
      </c>
      <c r="C42" s="10" t="s">
        <v>40</v>
      </c>
      <c r="P42" s="1"/>
    </row>
    <row r="43" ht="8.25" customHeight="1">
      <c r="B43" s="1"/>
      <c r="P43" s="1"/>
    </row>
    <row r="44" ht="14.25" customHeight="1">
      <c r="B44" s="1" t="s">
        <v>41</v>
      </c>
      <c r="C44" s="10" t="s">
        <v>42</v>
      </c>
      <c r="P44" s="1"/>
    </row>
    <row r="45" ht="14.25" customHeight="1">
      <c r="B45" s="1" t="s">
        <v>7</v>
      </c>
      <c r="C45" s="10" t="s">
        <v>43</v>
      </c>
      <c r="P45" s="1"/>
    </row>
    <row r="46" ht="8.25" customHeight="1">
      <c r="B46" s="1"/>
      <c r="P46" s="1"/>
    </row>
    <row r="47" ht="14.25" customHeight="1">
      <c r="B47" s="1" t="s">
        <v>44</v>
      </c>
      <c r="C47" s="10" t="s">
        <v>45</v>
      </c>
      <c r="O47" s="13">
        <v>0.0</v>
      </c>
      <c r="P47" s="1">
        <f>IF(O47=0,0,IF(O47=91.47,1,2))</f>
        <v>0</v>
      </c>
    </row>
    <row r="48" ht="14.25" customHeight="1">
      <c r="B48" s="1"/>
      <c r="P48" s="1"/>
    </row>
    <row r="49" ht="14.25" customHeight="1">
      <c r="B49" s="14" t="s">
        <v>46</v>
      </c>
      <c r="P49" s="1"/>
    </row>
    <row r="50" ht="14.25" customHeight="1">
      <c r="B50" s="1"/>
      <c r="P50" s="1"/>
    </row>
    <row r="51" ht="14.25" customHeight="1">
      <c r="B51" s="1"/>
      <c r="P51" s="1"/>
    </row>
    <row r="52" ht="14.25" customHeight="1">
      <c r="B52" s="1"/>
      <c r="P52" s="1"/>
    </row>
    <row r="53" ht="14.25" customHeight="1">
      <c r="B53" s="1"/>
      <c r="P53" s="1"/>
    </row>
    <row r="54" ht="14.25" customHeight="1">
      <c r="B54" s="1"/>
      <c r="P54" s="1"/>
    </row>
    <row r="55" ht="14.25" customHeight="1">
      <c r="B55" s="1"/>
      <c r="P55" s="1"/>
    </row>
    <row r="56" ht="14.25" customHeight="1">
      <c r="B56" s="1"/>
      <c r="P56" s="1"/>
    </row>
    <row r="57" ht="14.25" customHeight="1">
      <c r="B57" s="1"/>
      <c r="P57" s="1"/>
    </row>
    <row r="58" ht="14.25" customHeight="1">
      <c r="B58" s="1"/>
      <c r="P58" s="1"/>
    </row>
    <row r="59" ht="14.25" customHeight="1">
      <c r="B59" s="1"/>
      <c r="P59" s="1"/>
    </row>
    <row r="60" ht="14.25" customHeight="1">
      <c r="B60" s="1"/>
      <c r="P60" s="1"/>
    </row>
    <row r="61" ht="14.25" customHeight="1">
      <c r="B61" s="1"/>
      <c r="P61" s="1"/>
    </row>
    <row r="62" ht="14.25" customHeight="1">
      <c r="B62" s="1"/>
      <c r="P62" s="1"/>
    </row>
    <row r="63" ht="14.25" customHeight="1">
      <c r="B63" s="1"/>
      <c r="P63" s="1"/>
    </row>
    <row r="64" ht="14.25" customHeight="1">
      <c r="B64" s="1"/>
      <c r="P64" s="1"/>
    </row>
    <row r="65" ht="14.25" customHeight="1">
      <c r="B65" s="1"/>
      <c r="P65" s="1"/>
    </row>
    <row r="66" ht="14.25" customHeight="1">
      <c r="B66" s="1"/>
      <c r="P66" s="1"/>
    </row>
    <row r="67" ht="14.25" customHeight="1">
      <c r="B67" s="1"/>
      <c r="P67" s="1"/>
    </row>
    <row r="68" ht="14.25" customHeight="1">
      <c r="B68" s="1"/>
      <c r="P68" s="1"/>
    </row>
    <row r="69" ht="14.25" customHeight="1">
      <c r="B69" s="1"/>
      <c r="P69" s="1"/>
    </row>
    <row r="70" ht="14.25" customHeight="1">
      <c r="B70" s="1"/>
      <c r="P70" s="1"/>
    </row>
    <row r="71" ht="14.25" customHeight="1">
      <c r="B71" s="1"/>
      <c r="P71" s="1"/>
    </row>
    <row r="72" ht="14.25" customHeight="1">
      <c r="B72" s="1"/>
      <c r="P72" s="1"/>
    </row>
    <row r="73" ht="14.25" customHeight="1">
      <c r="B73" s="1"/>
      <c r="P73" s="1"/>
    </row>
    <row r="74" ht="14.25" customHeight="1">
      <c r="B74" s="1"/>
      <c r="P74" s="1"/>
    </row>
    <row r="75" ht="14.25" customHeight="1">
      <c r="B75" s="1"/>
      <c r="P75" s="1"/>
    </row>
    <row r="76" ht="14.25" customHeight="1">
      <c r="B76" s="1"/>
      <c r="P76" s="1"/>
    </row>
    <row r="77" ht="14.25" customHeight="1">
      <c r="B77" s="1"/>
      <c r="P77" s="1"/>
    </row>
    <row r="78" ht="14.25" customHeight="1">
      <c r="B78" s="1"/>
      <c r="P78" s="1"/>
    </row>
    <row r="79" ht="14.25" customHeight="1">
      <c r="B79" s="1"/>
      <c r="P79" s="1"/>
    </row>
    <row r="80" ht="14.25" customHeight="1">
      <c r="B80" s="1"/>
      <c r="P80" s="1"/>
    </row>
    <row r="81" ht="14.25" customHeight="1">
      <c r="B81" s="1"/>
      <c r="P81" s="1"/>
    </row>
    <row r="82" ht="14.25" customHeight="1">
      <c r="B82" s="1"/>
      <c r="P82" s="1"/>
    </row>
    <row r="83" ht="14.25" customHeight="1">
      <c r="B83" s="1"/>
      <c r="P83" s="1"/>
    </row>
    <row r="84" ht="14.25" customHeight="1">
      <c r="B84" s="1"/>
      <c r="P84" s="1"/>
    </row>
    <row r="85" ht="14.25" customHeight="1">
      <c r="B85" s="1"/>
      <c r="P85" s="1"/>
    </row>
    <row r="86" ht="14.25" customHeight="1">
      <c r="B86" s="1"/>
      <c r="P86" s="1"/>
    </row>
    <row r="87" ht="14.25" customHeight="1">
      <c r="B87" s="1"/>
      <c r="P87" s="1"/>
    </row>
    <row r="88" ht="14.25" customHeight="1">
      <c r="B88" s="1"/>
      <c r="P88" s="1"/>
    </row>
    <row r="89" ht="14.25" customHeight="1">
      <c r="B89" s="1"/>
      <c r="P89" s="1"/>
    </row>
    <row r="90" ht="14.25" customHeight="1">
      <c r="B90" s="1"/>
      <c r="P90" s="1"/>
    </row>
    <row r="91" ht="14.25" customHeight="1">
      <c r="B91" s="1"/>
      <c r="P91" s="1"/>
    </row>
    <row r="92" ht="14.25" customHeight="1">
      <c r="B92" s="1"/>
      <c r="P92" s="1"/>
    </row>
    <row r="93" ht="14.25" customHeight="1">
      <c r="B93" s="1"/>
      <c r="P93" s="1"/>
    </row>
    <row r="94" ht="14.25" customHeight="1">
      <c r="B94" s="1"/>
      <c r="P94" s="1"/>
    </row>
    <row r="95" ht="14.25" customHeight="1">
      <c r="B95" s="1"/>
      <c r="P95" s="1"/>
    </row>
    <row r="96" ht="14.25" customHeight="1">
      <c r="B96" s="1"/>
      <c r="P96" s="1"/>
    </row>
    <row r="97" ht="14.25" customHeight="1">
      <c r="B97" s="1"/>
      <c r="P97" s="1"/>
    </row>
    <row r="98" ht="14.25" customHeight="1">
      <c r="B98" s="1"/>
      <c r="P98" s="1"/>
    </row>
    <row r="99" ht="14.25" customHeight="1">
      <c r="B99" s="1"/>
      <c r="P99" s="1"/>
    </row>
    <row r="100" ht="14.25" customHeight="1">
      <c r="B100" s="1"/>
      <c r="P100" s="1"/>
    </row>
    <row r="101" ht="14.25" customHeight="1">
      <c r="B101" s="1"/>
      <c r="P101" s="1"/>
    </row>
    <row r="102" ht="14.25" customHeight="1">
      <c r="B102" s="1"/>
      <c r="P102" s="1"/>
    </row>
    <row r="103" ht="14.25" customHeight="1">
      <c r="B103" s="1"/>
      <c r="P103" s="1"/>
    </row>
    <row r="104" ht="14.25" customHeight="1">
      <c r="B104" s="1"/>
      <c r="P104" s="1"/>
    </row>
    <row r="105" ht="14.25" customHeight="1">
      <c r="B105" s="1"/>
      <c r="P105" s="1"/>
    </row>
    <row r="106" ht="14.25" customHeight="1">
      <c r="B106" s="1"/>
      <c r="P106" s="1"/>
    </row>
    <row r="107" ht="14.25" customHeight="1">
      <c r="B107" s="1"/>
      <c r="P107" s="1"/>
    </row>
    <row r="108" ht="14.25" customHeight="1">
      <c r="B108" s="1"/>
      <c r="P108" s="1"/>
    </row>
    <row r="109" ht="14.25" customHeight="1">
      <c r="B109" s="1"/>
      <c r="P109" s="1"/>
    </row>
    <row r="110" ht="14.25" customHeight="1">
      <c r="B110" s="1"/>
      <c r="P110" s="1"/>
    </row>
    <row r="111" ht="14.25" customHeight="1">
      <c r="B111" s="1"/>
      <c r="P111" s="1"/>
    </row>
    <row r="112" ht="14.25" customHeight="1">
      <c r="B112" s="1"/>
      <c r="P112" s="1"/>
    </row>
    <row r="113" ht="14.25" customHeight="1">
      <c r="B113" s="1"/>
      <c r="P113" s="1"/>
    </row>
    <row r="114" ht="14.25" customHeight="1">
      <c r="B114" s="1"/>
      <c r="P114" s="1"/>
    </row>
    <row r="115" ht="14.25" customHeight="1">
      <c r="B115" s="1"/>
      <c r="P115" s="1"/>
    </row>
    <row r="116" ht="14.25" customHeight="1">
      <c r="B116" s="1"/>
      <c r="P116" s="1"/>
    </row>
    <row r="117" ht="14.25" customHeight="1">
      <c r="B117" s="1"/>
      <c r="P117" s="1"/>
    </row>
    <row r="118" ht="14.25" customHeight="1">
      <c r="B118" s="1"/>
      <c r="P118" s="1"/>
    </row>
    <row r="119" ht="14.25" customHeight="1">
      <c r="B119" s="1"/>
      <c r="P119" s="1"/>
    </row>
    <row r="120" ht="14.25" customHeight="1">
      <c r="B120" s="1"/>
      <c r="P120" s="1"/>
    </row>
    <row r="121" ht="14.25" customHeight="1">
      <c r="B121" s="1"/>
      <c r="P121" s="1"/>
    </row>
    <row r="122" ht="14.25" customHeight="1">
      <c r="B122" s="1"/>
      <c r="P122" s="1"/>
    </row>
    <row r="123" ht="14.25" customHeight="1">
      <c r="B123" s="1"/>
      <c r="P123" s="1"/>
    </row>
    <row r="124" ht="14.25" customHeight="1">
      <c r="B124" s="1"/>
      <c r="P124" s="1"/>
    </row>
    <row r="125" ht="14.25" customHeight="1">
      <c r="B125" s="1"/>
      <c r="P125" s="1"/>
    </row>
    <row r="126" ht="14.25" customHeight="1">
      <c r="B126" s="1"/>
      <c r="P126" s="1"/>
    </row>
    <row r="127" ht="14.25" customHeight="1">
      <c r="B127" s="1"/>
      <c r="P127" s="1"/>
    </row>
    <row r="128" ht="14.25" customHeight="1">
      <c r="B128" s="1"/>
      <c r="P128" s="1"/>
    </row>
    <row r="129" ht="14.25" customHeight="1">
      <c r="B129" s="1"/>
      <c r="P129" s="1"/>
    </row>
    <row r="130" ht="14.25" customHeight="1">
      <c r="B130" s="1"/>
      <c r="P130" s="1"/>
    </row>
    <row r="131" ht="14.25" customHeight="1">
      <c r="B131" s="1"/>
      <c r="P131" s="1"/>
    </row>
    <row r="132" ht="14.25" customHeight="1">
      <c r="B132" s="1"/>
      <c r="P132" s="1"/>
    </row>
    <row r="133" ht="14.25" customHeight="1">
      <c r="B133" s="1"/>
      <c r="P133" s="1"/>
    </row>
    <row r="134" ht="14.25" customHeight="1">
      <c r="B134" s="1"/>
      <c r="P134" s="1"/>
    </row>
    <row r="135" ht="14.25" customHeight="1">
      <c r="B135" s="1"/>
      <c r="P135" s="1"/>
    </row>
    <row r="136" ht="14.25" customHeight="1">
      <c r="B136" s="1"/>
      <c r="P136" s="1"/>
    </row>
    <row r="137" ht="14.25" customHeight="1">
      <c r="B137" s="1"/>
      <c r="P137" s="1"/>
    </row>
    <row r="138" ht="14.25" customHeight="1">
      <c r="B138" s="1"/>
      <c r="P138" s="1"/>
    </row>
    <row r="139" ht="14.25" customHeight="1">
      <c r="B139" s="1"/>
      <c r="P139" s="1"/>
    </row>
    <row r="140" ht="14.25" customHeight="1">
      <c r="B140" s="1"/>
      <c r="P140" s="1"/>
    </row>
    <row r="141" ht="14.25" customHeight="1">
      <c r="B141" s="1"/>
      <c r="P141" s="1"/>
    </row>
    <row r="142" ht="14.25" customHeight="1">
      <c r="B142" s="1"/>
      <c r="P142" s="1"/>
    </row>
    <row r="143" ht="14.25" customHeight="1">
      <c r="B143" s="1"/>
      <c r="P143" s="1"/>
    </row>
    <row r="144" ht="14.25" customHeight="1">
      <c r="B144" s="1"/>
      <c r="P144" s="1"/>
    </row>
    <row r="145" ht="14.25" customHeight="1">
      <c r="B145" s="1"/>
      <c r="P145" s="1"/>
    </row>
    <row r="146" ht="14.25" customHeight="1">
      <c r="B146" s="1"/>
      <c r="P146" s="1"/>
    </row>
    <row r="147" ht="14.25" customHeight="1">
      <c r="B147" s="1"/>
      <c r="P147" s="1"/>
    </row>
    <row r="148" ht="14.25" customHeight="1">
      <c r="B148" s="1"/>
      <c r="P148" s="1"/>
    </row>
    <row r="149" ht="14.25" customHeight="1">
      <c r="B149" s="1"/>
      <c r="P149" s="1"/>
    </row>
    <row r="150" ht="14.25" customHeight="1">
      <c r="B150" s="1"/>
      <c r="P150" s="1"/>
    </row>
    <row r="151" ht="14.25" customHeight="1">
      <c r="B151" s="1"/>
      <c r="P151" s="1"/>
    </row>
    <row r="152" ht="14.25" customHeight="1">
      <c r="B152" s="1"/>
      <c r="P152" s="1"/>
    </row>
    <row r="153" ht="14.25" customHeight="1">
      <c r="B153" s="1"/>
      <c r="P153" s="1"/>
    </row>
    <row r="154" ht="14.25" customHeight="1">
      <c r="B154" s="1"/>
      <c r="P154" s="1"/>
    </row>
    <row r="155" ht="14.25" customHeight="1">
      <c r="B155" s="1"/>
      <c r="P155" s="1"/>
    </row>
    <row r="156" ht="14.25" customHeight="1">
      <c r="B156" s="1"/>
      <c r="P156" s="1"/>
    </row>
    <row r="157" ht="14.25" customHeight="1">
      <c r="B157" s="1"/>
      <c r="P157" s="1"/>
    </row>
    <row r="158" ht="14.25" customHeight="1">
      <c r="B158" s="1"/>
      <c r="P158" s="1"/>
    </row>
    <row r="159" ht="14.25" customHeight="1">
      <c r="B159" s="1"/>
      <c r="P159" s="1"/>
    </row>
    <row r="160" ht="14.25" customHeight="1">
      <c r="B160" s="1"/>
      <c r="P160" s="1"/>
    </row>
    <row r="161" ht="14.25" customHeight="1">
      <c r="B161" s="1"/>
      <c r="P161" s="1"/>
    </row>
    <row r="162" ht="14.25" customHeight="1">
      <c r="B162" s="1"/>
      <c r="P162" s="1"/>
    </row>
    <row r="163" ht="14.25" customHeight="1">
      <c r="B163" s="1"/>
      <c r="P163" s="1"/>
    </row>
    <row r="164" ht="14.25" customHeight="1">
      <c r="B164" s="1"/>
      <c r="P164" s="1"/>
    </row>
    <row r="165" ht="14.25" customHeight="1">
      <c r="B165" s="1"/>
      <c r="P165" s="1"/>
    </row>
    <row r="166" ht="14.25" customHeight="1">
      <c r="B166" s="1"/>
      <c r="P166" s="1"/>
    </row>
    <row r="167" ht="14.25" customHeight="1">
      <c r="B167" s="1"/>
      <c r="P167" s="1"/>
    </row>
    <row r="168" ht="14.25" customHeight="1">
      <c r="B168" s="1"/>
      <c r="P168" s="1"/>
    </row>
    <row r="169" ht="14.25" customHeight="1">
      <c r="B169" s="1"/>
      <c r="P169" s="1"/>
    </row>
    <row r="170" ht="14.25" customHeight="1">
      <c r="B170" s="1"/>
      <c r="P170" s="1"/>
    </row>
    <row r="171" ht="14.25" customHeight="1">
      <c r="B171" s="1"/>
      <c r="P171" s="1"/>
    </row>
    <row r="172" ht="14.25" customHeight="1">
      <c r="B172" s="1"/>
      <c r="P172" s="1"/>
    </row>
    <row r="173" ht="14.25" customHeight="1">
      <c r="B173" s="1"/>
      <c r="P173" s="1"/>
    </row>
    <row r="174" ht="14.25" customHeight="1">
      <c r="B174" s="1"/>
      <c r="P174" s="1"/>
    </row>
    <row r="175" ht="14.25" customHeight="1">
      <c r="B175" s="1"/>
      <c r="P175" s="1"/>
    </row>
    <row r="176" ht="14.25" customHeight="1">
      <c r="B176" s="1"/>
      <c r="P176" s="1"/>
    </row>
    <row r="177" ht="14.25" customHeight="1">
      <c r="B177" s="1"/>
      <c r="P177" s="1"/>
    </row>
    <row r="178" ht="14.25" customHeight="1">
      <c r="B178" s="1"/>
      <c r="P178" s="1"/>
    </row>
    <row r="179" ht="14.25" customHeight="1">
      <c r="B179" s="1"/>
      <c r="P179" s="1"/>
    </row>
    <row r="180" ht="14.25" customHeight="1">
      <c r="B180" s="1"/>
      <c r="P180" s="1"/>
    </row>
    <row r="181" ht="14.25" customHeight="1">
      <c r="B181" s="1"/>
      <c r="P181" s="1"/>
    </row>
    <row r="182" ht="14.25" customHeight="1">
      <c r="B182" s="1"/>
      <c r="P182" s="1"/>
    </row>
    <row r="183" ht="14.25" customHeight="1">
      <c r="B183" s="1"/>
      <c r="P183" s="1"/>
    </row>
    <row r="184" ht="14.25" customHeight="1">
      <c r="B184" s="1"/>
      <c r="P184" s="1"/>
    </row>
    <row r="185" ht="14.25" customHeight="1">
      <c r="B185" s="1"/>
      <c r="P185" s="1"/>
    </row>
    <row r="186" ht="14.25" customHeight="1">
      <c r="B186" s="1"/>
      <c r="P186" s="1"/>
    </row>
    <row r="187" ht="14.25" customHeight="1">
      <c r="B187" s="1"/>
      <c r="P187" s="1"/>
    </row>
    <row r="188" ht="14.25" customHeight="1">
      <c r="B188" s="1"/>
      <c r="P188" s="1"/>
    </row>
    <row r="189" ht="14.25" customHeight="1">
      <c r="B189" s="1"/>
      <c r="P189" s="1"/>
    </row>
    <row r="190" ht="14.25" customHeight="1">
      <c r="B190" s="1"/>
      <c r="P190" s="1"/>
    </row>
    <row r="191" ht="14.25" customHeight="1">
      <c r="B191" s="1"/>
      <c r="P191" s="1"/>
    </row>
    <row r="192" ht="14.25" customHeight="1">
      <c r="B192" s="1"/>
      <c r="P192" s="1"/>
    </row>
    <row r="193" ht="14.25" customHeight="1">
      <c r="B193" s="1"/>
      <c r="P193" s="1"/>
    </row>
    <row r="194" ht="14.25" customHeight="1">
      <c r="B194" s="1"/>
      <c r="P194" s="1"/>
    </row>
    <row r="195" ht="14.25" customHeight="1">
      <c r="B195" s="1"/>
      <c r="P195" s="1"/>
    </row>
    <row r="196" ht="14.25" customHeight="1">
      <c r="B196" s="1"/>
      <c r="P196" s="1"/>
    </row>
    <row r="197" ht="14.25" customHeight="1">
      <c r="B197" s="1"/>
      <c r="P197" s="1"/>
    </row>
    <row r="198" ht="14.25" customHeight="1">
      <c r="B198" s="1"/>
      <c r="P198" s="1"/>
    </row>
    <row r="199" ht="14.25" customHeight="1">
      <c r="B199" s="1"/>
      <c r="P199" s="1"/>
    </row>
    <row r="200" ht="14.25" customHeight="1">
      <c r="B200" s="1"/>
      <c r="P200" s="1"/>
    </row>
    <row r="201" ht="14.25" customHeight="1">
      <c r="B201" s="1"/>
      <c r="P201" s="1"/>
    </row>
    <row r="202" ht="14.25" customHeight="1">
      <c r="B202" s="1"/>
      <c r="P202" s="1"/>
    </row>
    <row r="203" ht="14.25" customHeight="1">
      <c r="B203" s="1"/>
      <c r="P203" s="1"/>
    </row>
    <row r="204" ht="14.25" customHeight="1">
      <c r="B204" s="1"/>
      <c r="P204" s="1"/>
    </row>
    <row r="205" ht="14.25" customHeight="1">
      <c r="B205" s="1"/>
      <c r="P205" s="1"/>
    </row>
    <row r="206" ht="14.25" customHeight="1">
      <c r="B206" s="1"/>
      <c r="P206" s="1"/>
    </row>
    <row r="207" ht="14.25" customHeight="1">
      <c r="B207" s="1"/>
      <c r="P207" s="1"/>
    </row>
    <row r="208" ht="14.25" customHeight="1">
      <c r="B208" s="1"/>
      <c r="P208" s="1"/>
    </row>
    <row r="209" ht="14.25" customHeight="1">
      <c r="B209" s="1"/>
      <c r="P209" s="1"/>
    </row>
    <row r="210" ht="14.25" customHeight="1">
      <c r="B210" s="1"/>
      <c r="P210" s="1"/>
    </row>
    <row r="211" ht="14.25" customHeight="1">
      <c r="B211" s="1"/>
      <c r="P211" s="1"/>
    </row>
    <row r="212" ht="14.25" customHeight="1">
      <c r="B212" s="1"/>
      <c r="P212" s="1"/>
    </row>
    <row r="213" ht="14.25" customHeight="1">
      <c r="B213" s="1"/>
      <c r="P213" s="1"/>
    </row>
    <row r="214" ht="14.25" customHeight="1">
      <c r="B214" s="1"/>
      <c r="P214" s="1"/>
    </row>
    <row r="215" ht="14.25" customHeight="1">
      <c r="B215" s="1"/>
      <c r="P215" s="1"/>
    </row>
    <row r="216" ht="14.25" customHeight="1">
      <c r="B216" s="1"/>
      <c r="P216" s="1"/>
    </row>
    <row r="217" ht="14.25" customHeight="1">
      <c r="B217" s="1"/>
      <c r="P217" s="1"/>
    </row>
    <row r="218" ht="14.25" customHeight="1">
      <c r="B218" s="1"/>
      <c r="P218" s="1"/>
    </row>
    <row r="219" ht="14.25" customHeight="1">
      <c r="B219" s="1"/>
      <c r="P219" s="1"/>
    </row>
    <row r="220" ht="14.25" customHeight="1">
      <c r="B220" s="1"/>
      <c r="P220" s="1"/>
    </row>
    <row r="221" ht="14.25" customHeight="1">
      <c r="B221" s="1"/>
      <c r="P221" s="1"/>
    </row>
    <row r="222" ht="14.25" customHeight="1">
      <c r="B222" s="1"/>
      <c r="P222" s="1"/>
    </row>
    <row r="223" ht="14.25" customHeight="1">
      <c r="B223" s="1"/>
      <c r="P223" s="1"/>
    </row>
    <row r="224" ht="14.25" customHeight="1">
      <c r="B224" s="1"/>
      <c r="P224" s="1"/>
    </row>
    <row r="225" ht="14.25" customHeight="1">
      <c r="B225" s="1"/>
      <c r="P225" s="1"/>
    </row>
    <row r="226" ht="14.25" customHeight="1">
      <c r="B226" s="1"/>
      <c r="P226" s="1"/>
    </row>
    <row r="227" ht="14.25" customHeight="1">
      <c r="B227" s="1"/>
      <c r="P227" s="1"/>
    </row>
    <row r="228" ht="14.25" customHeight="1">
      <c r="B228" s="1"/>
      <c r="P228" s="1"/>
    </row>
    <row r="229" ht="14.25" customHeight="1">
      <c r="B229" s="1"/>
      <c r="P229" s="1"/>
    </row>
    <row r="230" ht="14.25" customHeight="1">
      <c r="B230" s="1"/>
      <c r="P230" s="1"/>
    </row>
    <row r="231" ht="14.25" customHeight="1">
      <c r="B231" s="1"/>
      <c r="P231" s="1"/>
    </row>
    <row r="232" ht="14.25" customHeight="1">
      <c r="B232" s="1"/>
      <c r="P232" s="1"/>
    </row>
    <row r="233" ht="14.25" customHeight="1">
      <c r="B233" s="1"/>
      <c r="P233" s="1"/>
    </row>
    <row r="234" ht="14.25" customHeight="1">
      <c r="B234" s="1"/>
      <c r="P234" s="1"/>
    </row>
    <row r="235" ht="14.25" customHeight="1">
      <c r="B235" s="1"/>
      <c r="P235" s="1"/>
    </row>
    <row r="236" ht="14.25" customHeight="1">
      <c r="B236" s="1"/>
      <c r="P236" s="1"/>
    </row>
    <row r="237" ht="14.25" customHeight="1">
      <c r="B237" s="1"/>
      <c r="P237" s="1"/>
    </row>
    <row r="238" ht="14.25" customHeight="1">
      <c r="B238" s="1"/>
      <c r="P238" s="1"/>
    </row>
    <row r="239" ht="14.25" customHeight="1">
      <c r="B239" s="1"/>
      <c r="P239" s="1"/>
    </row>
    <row r="240" ht="14.25" customHeight="1">
      <c r="B240" s="1"/>
      <c r="P240" s="1"/>
    </row>
    <row r="241" ht="14.25" customHeight="1">
      <c r="B241" s="1"/>
      <c r="P241" s="1"/>
    </row>
    <row r="242" ht="14.25" customHeight="1">
      <c r="B242" s="1"/>
      <c r="P242" s="1"/>
    </row>
    <row r="243" ht="14.25" customHeight="1">
      <c r="B243" s="1"/>
      <c r="P243" s="1"/>
    </row>
    <row r="244" ht="14.25" customHeight="1">
      <c r="B244" s="1"/>
      <c r="P244" s="1"/>
    </row>
    <row r="245" ht="14.25" customHeight="1">
      <c r="B245" s="1"/>
      <c r="P245" s="1"/>
    </row>
    <row r="246" ht="14.25" customHeight="1">
      <c r="B246" s="1"/>
      <c r="P246" s="1"/>
    </row>
    <row r="247" ht="14.25" customHeight="1">
      <c r="B247" s="1"/>
      <c r="P247" s="1"/>
    </row>
    <row r="248" ht="14.25" customHeight="1">
      <c r="B248" s="1"/>
      <c r="P248" s="1"/>
    </row>
    <row r="249" ht="14.25" customHeight="1">
      <c r="B249" s="1"/>
      <c r="P249" s="1"/>
    </row>
    <row r="250" ht="14.25" customHeight="1">
      <c r="B250" s="1"/>
      <c r="P250" s="1"/>
    </row>
    <row r="251" ht="14.25" customHeight="1">
      <c r="B251" s="1"/>
      <c r="P251" s="1"/>
    </row>
    <row r="252" ht="14.25" customHeight="1">
      <c r="B252" s="1"/>
      <c r="P252" s="1"/>
    </row>
    <row r="253" ht="14.25" customHeight="1">
      <c r="B253" s="1"/>
      <c r="P253" s="1"/>
    </row>
    <row r="254" ht="14.25" customHeight="1">
      <c r="B254" s="1"/>
      <c r="P254" s="1"/>
    </row>
    <row r="255" ht="14.25" customHeight="1">
      <c r="B255" s="1"/>
      <c r="P255" s="1"/>
    </row>
    <row r="256" ht="14.25" customHeight="1">
      <c r="B256" s="1"/>
      <c r="P256" s="1"/>
    </row>
    <row r="257" ht="14.25" customHeight="1">
      <c r="B257" s="1"/>
      <c r="P257" s="1"/>
    </row>
    <row r="258" ht="14.25" customHeight="1">
      <c r="B258" s="1"/>
      <c r="P258" s="1"/>
    </row>
    <row r="259" ht="14.25" customHeight="1">
      <c r="B259" s="1"/>
      <c r="P259" s="1"/>
    </row>
    <row r="260" ht="14.25" customHeight="1">
      <c r="B260" s="1"/>
      <c r="P260" s="1"/>
    </row>
    <row r="261" ht="14.25" customHeight="1">
      <c r="B261" s="1"/>
      <c r="P261" s="1"/>
    </row>
    <row r="262" ht="14.25" customHeight="1">
      <c r="B262" s="1"/>
      <c r="P262" s="1"/>
    </row>
    <row r="263" ht="14.25" customHeight="1">
      <c r="B263" s="1"/>
      <c r="P263" s="1"/>
    </row>
    <row r="264" ht="14.25" customHeight="1">
      <c r="B264" s="1"/>
      <c r="P264" s="1"/>
    </row>
    <row r="265" ht="14.25" customHeight="1">
      <c r="B265" s="1"/>
      <c r="P265" s="1"/>
    </row>
    <row r="266" ht="14.25" customHeight="1">
      <c r="B266" s="1"/>
      <c r="P266" s="1"/>
    </row>
    <row r="267" ht="14.25" customHeight="1">
      <c r="B267" s="1"/>
      <c r="P267" s="1"/>
    </row>
    <row r="268" ht="14.25" customHeight="1">
      <c r="B268" s="1"/>
      <c r="P268" s="1"/>
    </row>
    <row r="269" ht="14.25" customHeight="1">
      <c r="B269" s="1"/>
      <c r="P269" s="1"/>
    </row>
    <row r="270" ht="14.25" customHeight="1">
      <c r="B270" s="1"/>
      <c r="P270" s="1"/>
    </row>
    <row r="271" ht="14.25" customHeight="1">
      <c r="B271" s="1"/>
      <c r="P271" s="1"/>
    </row>
    <row r="272" ht="14.25" customHeight="1">
      <c r="B272" s="1"/>
      <c r="P272" s="1"/>
    </row>
    <row r="273" ht="14.25" customHeight="1">
      <c r="B273" s="1"/>
      <c r="P273" s="1"/>
    </row>
    <row r="274" ht="14.25" customHeight="1">
      <c r="B274" s="1"/>
      <c r="P274" s="1"/>
    </row>
    <row r="275" ht="14.25" customHeight="1">
      <c r="B275" s="1"/>
      <c r="P275" s="1"/>
    </row>
    <row r="276" ht="14.25" customHeight="1">
      <c r="B276" s="1"/>
      <c r="P276" s="1"/>
    </row>
    <row r="277" ht="14.25" customHeight="1">
      <c r="B277" s="1"/>
      <c r="P277" s="1"/>
    </row>
    <row r="278" ht="14.25" customHeight="1">
      <c r="B278" s="1"/>
      <c r="P278" s="1"/>
    </row>
    <row r="279" ht="14.25" customHeight="1">
      <c r="B279" s="1"/>
      <c r="P279" s="1"/>
    </row>
    <row r="280" ht="14.25" customHeight="1">
      <c r="B280" s="1"/>
      <c r="P280" s="1"/>
    </row>
    <row r="281" ht="14.25" customHeight="1">
      <c r="B281" s="1"/>
      <c r="P281" s="1"/>
    </row>
    <row r="282" ht="14.25" customHeight="1">
      <c r="B282" s="1"/>
      <c r="P282" s="1"/>
    </row>
    <row r="283" ht="14.25" customHeight="1">
      <c r="B283" s="1"/>
      <c r="P283" s="1"/>
    </row>
    <row r="284" ht="14.25" customHeight="1">
      <c r="B284" s="1"/>
      <c r="P284" s="1"/>
    </row>
    <row r="285" ht="14.25" customHeight="1">
      <c r="B285" s="1"/>
      <c r="P285" s="1"/>
    </row>
    <row r="286" ht="14.25" customHeight="1">
      <c r="B286" s="1"/>
      <c r="P286" s="1"/>
    </row>
    <row r="287" ht="14.25" customHeight="1">
      <c r="B287" s="1"/>
      <c r="P287" s="1"/>
    </row>
    <row r="288" ht="14.25" customHeight="1">
      <c r="B288" s="1"/>
      <c r="P288" s="1"/>
    </row>
    <row r="289" ht="14.25" customHeight="1">
      <c r="B289" s="1"/>
      <c r="P289" s="1"/>
    </row>
    <row r="290" ht="14.25" customHeight="1">
      <c r="B290" s="1"/>
      <c r="P290" s="1"/>
    </row>
    <row r="291" ht="14.25" customHeight="1">
      <c r="B291" s="1"/>
      <c r="P291" s="1"/>
    </row>
    <row r="292" ht="14.25" customHeight="1">
      <c r="B292" s="1"/>
      <c r="P292" s="1"/>
    </row>
    <row r="293" ht="14.25" customHeight="1">
      <c r="B293" s="1"/>
      <c r="P293" s="1"/>
    </row>
    <row r="294" ht="14.25" customHeight="1">
      <c r="B294" s="1"/>
      <c r="P294" s="1"/>
    </row>
    <row r="295" ht="14.25" customHeight="1">
      <c r="B295" s="1"/>
      <c r="P295" s="1"/>
    </row>
    <row r="296" ht="14.25" customHeight="1">
      <c r="B296" s="1"/>
      <c r="P296" s="1"/>
    </row>
    <row r="297" ht="14.25" customHeight="1">
      <c r="B297" s="1"/>
      <c r="P297" s="1"/>
    </row>
    <row r="298" ht="14.25" customHeight="1">
      <c r="B298" s="1"/>
      <c r="P298" s="1"/>
    </row>
    <row r="299" ht="14.25" customHeight="1">
      <c r="B299" s="1"/>
      <c r="P299" s="1"/>
    </row>
    <row r="300" ht="14.25" customHeight="1">
      <c r="B300" s="1"/>
      <c r="P300" s="1"/>
    </row>
    <row r="301" ht="14.25" customHeight="1">
      <c r="B301" s="1"/>
      <c r="P301" s="1"/>
    </row>
    <row r="302" ht="14.25" customHeight="1">
      <c r="B302" s="1"/>
      <c r="P302" s="1"/>
    </row>
    <row r="303" ht="14.25" customHeight="1">
      <c r="B303" s="1"/>
      <c r="P303" s="1"/>
    </row>
    <row r="304" ht="14.25" customHeight="1">
      <c r="B304" s="1"/>
      <c r="P304" s="1"/>
    </row>
    <row r="305" ht="14.25" customHeight="1">
      <c r="B305" s="1"/>
      <c r="P305" s="1"/>
    </row>
    <row r="306" ht="14.25" customHeight="1">
      <c r="B306" s="1"/>
      <c r="P306" s="1"/>
    </row>
    <row r="307" ht="14.25" customHeight="1">
      <c r="B307" s="1"/>
      <c r="P307" s="1"/>
    </row>
    <row r="308" ht="14.25" customHeight="1">
      <c r="B308" s="1"/>
      <c r="P308" s="1"/>
    </row>
    <row r="309" ht="14.25" customHeight="1">
      <c r="B309" s="1"/>
      <c r="P309" s="1"/>
    </row>
    <row r="310" ht="14.25" customHeight="1">
      <c r="B310" s="1"/>
      <c r="P310" s="1"/>
    </row>
    <row r="311" ht="14.25" customHeight="1">
      <c r="B311" s="1"/>
      <c r="P311" s="1"/>
    </row>
    <row r="312" ht="14.25" customHeight="1">
      <c r="B312" s="1"/>
      <c r="P312" s="1"/>
    </row>
    <row r="313" ht="14.25" customHeight="1">
      <c r="B313" s="1"/>
      <c r="P313" s="1"/>
    </row>
    <row r="314" ht="14.25" customHeight="1">
      <c r="B314" s="1"/>
      <c r="P314" s="1"/>
    </row>
    <row r="315" ht="14.25" customHeight="1">
      <c r="B315" s="1"/>
      <c r="P315" s="1"/>
    </row>
    <row r="316" ht="14.25" customHeight="1">
      <c r="B316" s="1"/>
      <c r="P316" s="1"/>
    </row>
    <row r="317" ht="14.25" customHeight="1">
      <c r="B317" s="1"/>
      <c r="P317" s="1"/>
    </row>
    <row r="318" ht="14.25" customHeight="1">
      <c r="B318" s="1"/>
      <c r="P318" s="1"/>
    </row>
    <row r="319" ht="14.25" customHeight="1">
      <c r="B319" s="1"/>
      <c r="P319" s="1"/>
    </row>
    <row r="320" ht="14.25" customHeight="1">
      <c r="B320" s="1"/>
      <c r="P320" s="1"/>
    </row>
    <row r="321" ht="14.25" customHeight="1">
      <c r="B321" s="1"/>
      <c r="P321" s="1"/>
    </row>
    <row r="322" ht="14.25" customHeight="1">
      <c r="B322" s="1"/>
      <c r="P322" s="1"/>
    </row>
    <row r="323" ht="14.25" customHeight="1">
      <c r="B323" s="1"/>
      <c r="P323" s="1"/>
    </row>
    <row r="324" ht="14.25" customHeight="1">
      <c r="B324" s="1"/>
      <c r="P324" s="1"/>
    </row>
    <row r="325" ht="14.25" customHeight="1">
      <c r="B325" s="1"/>
      <c r="P325" s="1"/>
    </row>
    <row r="326" ht="14.25" customHeight="1">
      <c r="B326" s="1"/>
      <c r="P326" s="1"/>
    </row>
    <row r="327" ht="14.25" customHeight="1">
      <c r="B327" s="1"/>
      <c r="P327" s="1"/>
    </row>
    <row r="328" ht="14.25" customHeight="1">
      <c r="B328" s="1"/>
      <c r="P328" s="1"/>
    </row>
    <row r="329" ht="14.25" customHeight="1">
      <c r="B329" s="1"/>
      <c r="P329" s="1"/>
    </row>
    <row r="330" ht="14.25" customHeight="1">
      <c r="B330" s="1"/>
      <c r="P330" s="1"/>
    </row>
    <row r="331" ht="14.25" customHeight="1">
      <c r="B331" s="1"/>
      <c r="P331" s="1"/>
    </row>
    <row r="332" ht="14.25" customHeight="1">
      <c r="B332" s="1"/>
      <c r="P332" s="1"/>
    </row>
    <row r="333" ht="14.25" customHeight="1">
      <c r="B333" s="1"/>
      <c r="P333" s="1"/>
    </row>
    <row r="334" ht="14.25" customHeight="1">
      <c r="B334" s="1"/>
      <c r="P334" s="1"/>
    </row>
    <row r="335" ht="14.25" customHeight="1">
      <c r="B335" s="1"/>
      <c r="P335" s="1"/>
    </row>
    <row r="336" ht="14.25" customHeight="1">
      <c r="B336" s="1"/>
      <c r="P336" s="1"/>
    </row>
    <row r="337" ht="14.25" customHeight="1">
      <c r="B337" s="1"/>
      <c r="P337" s="1"/>
    </row>
    <row r="338" ht="14.25" customHeight="1">
      <c r="B338" s="1"/>
      <c r="P338" s="1"/>
    </row>
    <row r="339" ht="14.25" customHeight="1">
      <c r="B339" s="1"/>
      <c r="P339" s="1"/>
    </row>
    <row r="340" ht="14.25" customHeight="1">
      <c r="B340" s="1"/>
      <c r="P340" s="1"/>
    </row>
    <row r="341" ht="14.25" customHeight="1">
      <c r="B341" s="1"/>
      <c r="P341" s="1"/>
    </row>
    <row r="342" ht="14.25" customHeight="1">
      <c r="B342" s="1"/>
      <c r="P342" s="1"/>
    </row>
    <row r="343" ht="14.25" customHeight="1">
      <c r="B343" s="1"/>
      <c r="P343" s="1"/>
    </row>
    <row r="344" ht="14.25" customHeight="1">
      <c r="B344" s="1"/>
      <c r="P344" s="1"/>
    </row>
    <row r="345" ht="14.25" customHeight="1">
      <c r="B345" s="1"/>
      <c r="P345" s="1"/>
    </row>
    <row r="346" ht="14.25" customHeight="1">
      <c r="B346" s="1"/>
      <c r="P346" s="1"/>
    </row>
    <row r="347" ht="14.25" customHeight="1">
      <c r="B347" s="1"/>
      <c r="P347" s="1"/>
    </row>
    <row r="348" ht="14.25" customHeight="1">
      <c r="B348" s="1"/>
      <c r="P348" s="1"/>
    </row>
    <row r="349" ht="14.25" customHeight="1">
      <c r="B349" s="1"/>
      <c r="P349" s="1"/>
    </row>
    <row r="350" ht="14.25" customHeight="1">
      <c r="B350" s="1"/>
      <c r="P350" s="1"/>
    </row>
    <row r="351" ht="14.25" customHeight="1">
      <c r="B351" s="1"/>
      <c r="P351" s="1"/>
    </row>
    <row r="352" ht="14.25" customHeight="1">
      <c r="B352" s="1"/>
      <c r="P352" s="1"/>
    </row>
    <row r="353" ht="14.25" customHeight="1">
      <c r="B353" s="1"/>
      <c r="P353" s="1"/>
    </row>
    <row r="354" ht="14.25" customHeight="1">
      <c r="B354" s="1"/>
      <c r="P354" s="1"/>
    </row>
    <row r="355" ht="14.25" customHeight="1">
      <c r="B355" s="1"/>
      <c r="P355" s="1"/>
    </row>
    <row r="356" ht="14.25" customHeight="1">
      <c r="B356" s="1"/>
      <c r="P356" s="1"/>
    </row>
    <row r="357" ht="14.25" customHeight="1">
      <c r="B357" s="1"/>
      <c r="P357" s="1"/>
    </row>
    <row r="358" ht="14.25" customHeight="1">
      <c r="B358" s="1"/>
      <c r="P358" s="1"/>
    </row>
    <row r="359" ht="14.25" customHeight="1">
      <c r="B359" s="1"/>
      <c r="P359" s="1"/>
    </row>
    <row r="360" ht="14.25" customHeight="1">
      <c r="B360" s="1"/>
      <c r="P360" s="1"/>
    </row>
    <row r="361" ht="14.25" customHeight="1">
      <c r="B361" s="1"/>
      <c r="P361" s="1"/>
    </row>
    <row r="362" ht="14.25" customHeight="1">
      <c r="B362" s="1"/>
      <c r="P362" s="1"/>
    </row>
    <row r="363" ht="14.25" customHeight="1">
      <c r="B363" s="1"/>
      <c r="P363" s="1"/>
    </row>
    <row r="364" ht="14.25" customHeight="1">
      <c r="B364" s="1"/>
      <c r="P364" s="1"/>
    </row>
    <row r="365" ht="14.25" customHeight="1">
      <c r="B365" s="1"/>
      <c r="P365" s="1"/>
    </row>
    <row r="366" ht="14.25" customHeight="1">
      <c r="B366" s="1"/>
      <c r="P366" s="1"/>
    </row>
    <row r="367" ht="14.25" customHeight="1">
      <c r="B367" s="1"/>
      <c r="P367" s="1"/>
    </row>
    <row r="368" ht="14.25" customHeight="1">
      <c r="B368" s="1"/>
      <c r="P368" s="1"/>
    </row>
    <row r="369" ht="14.25" customHeight="1">
      <c r="B369" s="1"/>
      <c r="P369" s="1"/>
    </row>
    <row r="370" ht="14.25" customHeight="1">
      <c r="B370" s="1"/>
      <c r="P370" s="1"/>
    </row>
    <row r="371" ht="14.25" customHeight="1">
      <c r="B371" s="1"/>
      <c r="P371" s="1"/>
    </row>
    <row r="372" ht="14.25" customHeight="1">
      <c r="B372" s="1"/>
      <c r="P372" s="1"/>
    </row>
    <row r="373" ht="14.25" customHeight="1">
      <c r="B373" s="1"/>
      <c r="P373" s="1"/>
    </row>
    <row r="374" ht="14.25" customHeight="1">
      <c r="B374" s="1"/>
      <c r="P374" s="1"/>
    </row>
    <row r="375" ht="14.25" customHeight="1">
      <c r="B375" s="1"/>
      <c r="P375" s="1"/>
    </row>
    <row r="376" ht="14.25" customHeight="1">
      <c r="B376" s="1"/>
      <c r="P376" s="1"/>
    </row>
    <row r="377" ht="14.25" customHeight="1">
      <c r="B377" s="1"/>
      <c r="P377" s="1"/>
    </row>
    <row r="378" ht="14.25" customHeight="1">
      <c r="B378" s="1"/>
      <c r="P378" s="1"/>
    </row>
    <row r="379" ht="14.25" customHeight="1">
      <c r="B379" s="1"/>
      <c r="P379" s="1"/>
    </row>
    <row r="380" ht="14.25" customHeight="1">
      <c r="B380" s="1"/>
      <c r="P380" s="1"/>
    </row>
    <row r="381" ht="14.25" customHeight="1">
      <c r="B381" s="1"/>
      <c r="P381" s="1"/>
    </row>
    <row r="382" ht="14.25" customHeight="1">
      <c r="B382" s="1"/>
      <c r="P382" s="1"/>
    </row>
    <row r="383" ht="14.25" customHeight="1">
      <c r="B383" s="1"/>
      <c r="P383" s="1"/>
    </row>
    <row r="384" ht="14.25" customHeight="1">
      <c r="B384" s="1"/>
      <c r="P384" s="1"/>
    </row>
    <row r="385" ht="14.25" customHeight="1">
      <c r="B385" s="1"/>
      <c r="P385" s="1"/>
    </row>
    <row r="386" ht="14.25" customHeight="1">
      <c r="B386" s="1"/>
      <c r="P386" s="1"/>
    </row>
    <row r="387" ht="14.25" customHeight="1">
      <c r="B387" s="1"/>
      <c r="P387" s="1"/>
    </row>
    <row r="388" ht="14.25" customHeight="1">
      <c r="B388" s="1"/>
      <c r="P388" s="1"/>
    </row>
    <row r="389" ht="14.25" customHeight="1">
      <c r="B389" s="1"/>
      <c r="P389" s="1"/>
    </row>
    <row r="390" ht="14.25" customHeight="1">
      <c r="B390" s="1"/>
      <c r="P390" s="1"/>
    </row>
    <row r="391" ht="14.25" customHeight="1">
      <c r="B391" s="1"/>
      <c r="P391" s="1"/>
    </row>
    <row r="392" ht="14.25" customHeight="1">
      <c r="B392" s="1"/>
      <c r="P392" s="1"/>
    </row>
    <row r="393" ht="14.25" customHeight="1">
      <c r="B393" s="1"/>
      <c r="P393" s="1"/>
    </row>
    <row r="394" ht="14.25" customHeight="1">
      <c r="B394" s="1"/>
      <c r="P394" s="1"/>
    </row>
    <row r="395" ht="14.25" customHeight="1">
      <c r="B395" s="1"/>
      <c r="P395" s="1"/>
    </row>
    <row r="396" ht="14.25" customHeight="1">
      <c r="B396" s="1"/>
      <c r="P396" s="1"/>
    </row>
    <row r="397" ht="14.25" customHeight="1">
      <c r="B397" s="1"/>
      <c r="P397" s="1"/>
    </row>
    <row r="398" ht="14.25" customHeight="1">
      <c r="B398" s="1"/>
      <c r="P398" s="1"/>
    </row>
    <row r="399" ht="14.25" customHeight="1">
      <c r="B399" s="1"/>
      <c r="P399" s="1"/>
    </row>
    <row r="400" ht="14.25" customHeight="1">
      <c r="B400" s="1"/>
      <c r="P400" s="1"/>
    </row>
    <row r="401" ht="14.25" customHeight="1">
      <c r="B401" s="1"/>
      <c r="P401" s="1"/>
    </row>
    <row r="402" ht="14.25" customHeight="1">
      <c r="B402" s="1"/>
      <c r="P402" s="1"/>
    </row>
    <row r="403" ht="14.25" customHeight="1">
      <c r="B403" s="1"/>
      <c r="P403" s="1"/>
    </row>
    <row r="404" ht="14.25" customHeight="1">
      <c r="B404" s="1"/>
      <c r="P404" s="1"/>
    </row>
    <row r="405" ht="14.25" customHeight="1">
      <c r="B405" s="1"/>
      <c r="P405" s="1"/>
    </row>
    <row r="406" ht="14.25" customHeight="1">
      <c r="B406" s="1"/>
      <c r="P406" s="1"/>
    </row>
    <row r="407" ht="14.25" customHeight="1">
      <c r="B407" s="1"/>
      <c r="P407" s="1"/>
    </row>
    <row r="408" ht="14.25" customHeight="1">
      <c r="B408" s="1"/>
      <c r="P408" s="1"/>
    </row>
    <row r="409" ht="14.25" customHeight="1">
      <c r="B409" s="1"/>
      <c r="P409" s="1"/>
    </row>
    <row r="410" ht="14.25" customHeight="1">
      <c r="B410" s="1"/>
      <c r="P410" s="1"/>
    </row>
    <row r="411" ht="14.25" customHeight="1">
      <c r="B411" s="1"/>
      <c r="P411" s="1"/>
    </row>
    <row r="412" ht="14.25" customHeight="1">
      <c r="B412" s="1"/>
      <c r="P412" s="1"/>
    </row>
    <row r="413" ht="14.25" customHeight="1">
      <c r="B413" s="1"/>
      <c r="P413" s="1"/>
    </row>
    <row r="414" ht="14.25" customHeight="1">
      <c r="B414" s="1"/>
      <c r="P414" s="1"/>
    </row>
    <row r="415" ht="14.25" customHeight="1">
      <c r="B415" s="1"/>
      <c r="P415" s="1"/>
    </row>
    <row r="416" ht="14.25" customHeight="1">
      <c r="B416" s="1"/>
      <c r="P416" s="1"/>
    </row>
    <row r="417" ht="14.25" customHeight="1">
      <c r="B417" s="1"/>
      <c r="P417" s="1"/>
    </row>
    <row r="418" ht="14.25" customHeight="1">
      <c r="B418" s="1"/>
      <c r="P418" s="1"/>
    </row>
    <row r="419" ht="14.25" customHeight="1">
      <c r="B419" s="1"/>
      <c r="P419" s="1"/>
    </row>
    <row r="420" ht="14.25" customHeight="1">
      <c r="B420" s="1"/>
      <c r="P420" s="1"/>
    </row>
    <row r="421" ht="14.25" customHeight="1">
      <c r="B421" s="1"/>
      <c r="P421" s="1"/>
    </row>
    <row r="422" ht="14.25" customHeight="1">
      <c r="B422" s="1"/>
      <c r="P422" s="1"/>
    </row>
    <row r="423" ht="14.25" customHeight="1">
      <c r="B423" s="1"/>
      <c r="P423" s="1"/>
    </row>
    <row r="424" ht="14.25" customHeight="1">
      <c r="B424" s="1"/>
      <c r="P424" s="1"/>
    </row>
    <row r="425" ht="14.25" customHeight="1">
      <c r="B425" s="1"/>
      <c r="P425" s="1"/>
    </row>
    <row r="426" ht="14.25" customHeight="1">
      <c r="B426" s="1"/>
      <c r="P426" s="1"/>
    </row>
    <row r="427" ht="14.25" customHeight="1">
      <c r="B427" s="1"/>
      <c r="P427" s="1"/>
    </row>
    <row r="428" ht="14.25" customHeight="1">
      <c r="B428" s="1"/>
      <c r="P428" s="1"/>
    </row>
    <row r="429" ht="14.25" customHeight="1">
      <c r="B429" s="1"/>
      <c r="P429" s="1"/>
    </row>
    <row r="430" ht="14.25" customHeight="1">
      <c r="B430" s="1"/>
      <c r="P430" s="1"/>
    </row>
    <row r="431" ht="14.25" customHeight="1">
      <c r="B431" s="1"/>
      <c r="P431" s="1"/>
    </row>
    <row r="432" ht="14.25" customHeight="1">
      <c r="B432" s="1"/>
      <c r="P432" s="1"/>
    </row>
    <row r="433" ht="14.25" customHeight="1">
      <c r="B433" s="1"/>
      <c r="P433" s="1"/>
    </row>
    <row r="434" ht="14.25" customHeight="1">
      <c r="B434" s="1"/>
      <c r="P434" s="1"/>
    </row>
    <row r="435" ht="14.25" customHeight="1">
      <c r="B435" s="1"/>
      <c r="P435" s="1"/>
    </row>
    <row r="436" ht="14.25" customHeight="1">
      <c r="B436" s="1"/>
      <c r="P436" s="1"/>
    </row>
    <row r="437" ht="14.25" customHeight="1">
      <c r="B437" s="1"/>
      <c r="P437" s="1"/>
    </row>
    <row r="438" ht="14.25" customHeight="1">
      <c r="B438" s="1"/>
      <c r="P438" s="1"/>
    </row>
    <row r="439" ht="14.25" customHeight="1">
      <c r="B439" s="1"/>
      <c r="P439" s="1"/>
    </row>
    <row r="440" ht="14.25" customHeight="1">
      <c r="B440" s="1"/>
      <c r="P440" s="1"/>
    </row>
    <row r="441" ht="14.25" customHeight="1">
      <c r="B441" s="1"/>
      <c r="P441" s="1"/>
    </row>
    <row r="442" ht="14.25" customHeight="1">
      <c r="B442" s="1"/>
      <c r="P442" s="1"/>
    </row>
    <row r="443" ht="14.25" customHeight="1">
      <c r="B443" s="1"/>
      <c r="P443" s="1"/>
    </row>
    <row r="444" ht="14.25" customHeight="1">
      <c r="B444" s="1"/>
      <c r="P444" s="1"/>
    </row>
    <row r="445" ht="14.25" customHeight="1">
      <c r="B445" s="1"/>
      <c r="P445" s="1"/>
    </row>
    <row r="446" ht="14.25" customHeight="1">
      <c r="B446" s="1"/>
      <c r="P446" s="1"/>
    </row>
    <row r="447" ht="14.25" customHeight="1">
      <c r="B447" s="1"/>
      <c r="P447" s="1"/>
    </row>
    <row r="448" ht="14.25" customHeight="1">
      <c r="B448" s="1"/>
      <c r="P448" s="1"/>
    </row>
    <row r="449" ht="14.25" customHeight="1">
      <c r="B449" s="1"/>
      <c r="P449" s="1"/>
    </row>
    <row r="450" ht="14.25" customHeight="1">
      <c r="B450" s="1"/>
      <c r="P450" s="1"/>
    </row>
    <row r="451" ht="14.25" customHeight="1">
      <c r="B451" s="1"/>
      <c r="P451" s="1"/>
    </row>
    <row r="452" ht="14.25" customHeight="1">
      <c r="B452" s="1"/>
      <c r="P452" s="1"/>
    </row>
    <row r="453" ht="14.25" customHeight="1">
      <c r="B453" s="1"/>
      <c r="P453" s="1"/>
    </row>
    <row r="454" ht="14.25" customHeight="1">
      <c r="B454" s="1"/>
      <c r="P454" s="1"/>
    </row>
    <row r="455" ht="14.25" customHeight="1">
      <c r="B455" s="1"/>
      <c r="P455" s="1"/>
    </row>
    <row r="456" ht="14.25" customHeight="1">
      <c r="B456" s="1"/>
      <c r="P456" s="1"/>
    </row>
    <row r="457" ht="14.25" customHeight="1">
      <c r="B457" s="1"/>
      <c r="P457" s="1"/>
    </row>
    <row r="458" ht="14.25" customHeight="1">
      <c r="B458" s="1"/>
      <c r="P458" s="1"/>
    </row>
    <row r="459" ht="14.25" customHeight="1">
      <c r="B459" s="1"/>
      <c r="P459" s="1"/>
    </row>
    <row r="460" ht="14.25" customHeight="1">
      <c r="B460" s="1"/>
      <c r="P460" s="1"/>
    </row>
    <row r="461" ht="14.25" customHeight="1">
      <c r="B461" s="1"/>
      <c r="P461" s="1"/>
    </row>
    <row r="462" ht="14.25" customHeight="1">
      <c r="B462" s="1"/>
      <c r="P462" s="1"/>
    </row>
    <row r="463" ht="14.25" customHeight="1">
      <c r="B463" s="1"/>
      <c r="P463" s="1"/>
    </row>
    <row r="464" ht="14.25" customHeight="1">
      <c r="B464" s="1"/>
      <c r="P464" s="1"/>
    </row>
    <row r="465" ht="14.25" customHeight="1">
      <c r="B465" s="1"/>
      <c r="P465" s="1"/>
    </row>
    <row r="466" ht="14.25" customHeight="1">
      <c r="B466" s="1"/>
      <c r="P466" s="1"/>
    </row>
    <row r="467" ht="14.25" customHeight="1">
      <c r="B467" s="1"/>
      <c r="P467" s="1"/>
    </row>
    <row r="468" ht="14.25" customHeight="1">
      <c r="B468" s="1"/>
      <c r="P468" s="1"/>
    </row>
    <row r="469" ht="14.25" customHeight="1">
      <c r="B469" s="1"/>
      <c r="P469" s="1"/>
    </row>
    <row r="470" ht="14.25" customHeight="1">
      <c r="B470" s="1"/>
      <c r="P470" s="1"/>
    </row>
    <row r="471" ht="14.25" customHeight="1">
      <c r="B471" s="1"/>
      <c r="P471" s="1"/>
    </row>
    <row r="472" ht="14.25" customHeight="1">
      <c r="B472" s="1"/>
      <c r="P472" s="1"/>
    </row>
    <row r="473" ht="14.25" customHeight="1">
      <c r="B473" s="1"/>
      <c r="P473" s="1"/>
    </row>
    <row r="474" ht="14.25" customHeight="1">
      <c r="B474" s="1"/>
      <c r="P474" s="1"/>
    </row>
    <row r="475" ht="14.25" customHeight="1">
      <c r="B475" s="1"/>
      <c r="P475" s="1"/>
    </row>
    <row r="476" ht="14.25" customHeight="1">
      <c r="B476" s="1"/>
      <c r="P476" s="1"/>
    </row>
    <row r="477" ht="14.25" customHeight="1">
      <c r="B477" s="1"/>
      <c r="P477" s="1"/>
    </row>
    <row r="478" ht="14.25" customHeight="1">
      <c r="B478" s="1"/>
      <c r="P478" s="1"/>
    </row>
    <row r="479" ht="14.25" customHeight="1">
      <c r="B479" s="1"/>
      <c r="P479" s="1"/>
    </row>
    <row r="480" ht="14.25" customHeight="1">
      <c r="B480" s="1"/>
      <c r="P480" s="1"/>
    </row>
    <row r="481" ht="14.25" customHeight="1">
      <c r="B481" s="1"/>
      <c r="P481" s="1"/>
    </row>
    <row r="482" ht="14.25" customHeight="1">
      <c r="B482" s="1"/>
      <c r="P482" s="1"/>
    </row>
    <row r="483" ht="14.25" customHeight="1">
      <c r="B483" s="1"/>
      <c r="P483" s="1"/>
    </row>
    <row r="484" ht="14.25" customHeight="1">
      <c r="B484" s="1"/>
      <c r="P484" s="1"/>
    </row>
    <row r="485" ht="14.25" customHeight="1">
      <c r="B485" s="1"/>
      <c r="P485" s="1"/>
    </row>
    <row r="486" ht="14.25" customHeight="1">
      <c r="B486" s="1"/>
      <c r="P486" s="1"/>
    </row>
    <row r="487" ht="14.25" customHeight="1">
      <c r="B487" s="1"/>
      <c r="P487" s="1"/>
    </row>
    <row r="488" ht="14.25" customHeight="1">
      <c r="B488" s="1"/>
      <c r="P488" s="1"/>
    </row>
    <row r="489" ht="14.25" customHeight="1">
      <c r="B489" s="1"/>
      <c r="P489" s="1"/>
    </row>
    <row r="490" ht="14.25" customHeight="1">
      <c r="B490" s="1"/>
      <c r="P490" s="1"/>
    </row>
    <row r="491" ht="14.25" customHeight="1">
      <c r="B491" s="1"/>
      <c r="P491" s="1"/>
    </row>
    <row r="492" ht="14.25" customHeight="1">
      <c r="B492" s="1"/>
      <c r="P492" s="1"/>
    </row>
    <row r="493" ht="14.25" customHeight="1">
      <c r="B493" s="1"/>
      <c r="P493" s="1"/>
    </row>
    <row r="494" ht="14.25" customHeight="1">
      <c r="B494" s="1"/>
      <c r="P494" s="1"/>
    </row>
    <row r="495" ht="14.25" customHeight="1">
      <c r="B495" s="1"/>
      <c r="P495" s="1"/>
    </row>
    <row r="496" ht="14.25" customHeight="1">
      <c r="B496" s="1"/>
      <c r="P496" s="1"/>
    </row>
    <row r="497" ht="14.25" customHeight="1">
      <c r="B497" s="1"/>
      <c r="P497" s="1"/>
    </row>
    <row r="498" ht="14.25" customHeight="1">
      <c r="B498" s="1"/>
      <c r="P498" s="1"/>
    </row>
    <row r="499" ht="14.25" customHeight="1">
      <c r="B499" s="1"/>
      <c r="P499" s="1"/>
    </row>
    <row r="500" ht="14.25" customHeight="1">
      <c r="B500" s="1"/>
      <c r="P500" s="1"/>
    </row>
    <row r="501" ht="14.25" customHeight="1">
      <c r="B501" s="1"/>
      <c r="P501" s="1"/>
    </row>
    <row r="502" ht="14.25" customHeight="1">
      <c r="B502" s="1"/>
      <c r="P502" s="1"/>
    </row>
    <row r="503" ht="14.25" customHeight="1">
      <c r="B503" s="1"/>
      <c r="P503" s="1"/>
    </row>
    <row r="504" ht="14.25" customHeight="1">
      <c r="B504" s="1"/>
      <c r="P504" s="1"/>
    </row>
    <row r="505" ht="14.25" customHeight="1">
      <c r="B505" s="1"/>
      <c r="P505" s="1"/>
    </row>
    <row r="506" ht="14.25" customHeight="1">
      <c r="B506" s="1"/>
      <c r="P506" s="1"/>
    </row>
    <row r="507" ht="14.25" customHeight="1">
      <c r="B507" s="1"/>
      <c r="P507" s="1"/>
    </row>
    <row r="508" ht="14.25" customHeight="1">
      <c r="B508" s="1"/>
      <c r="P508" s="1"/>
    </row>
    <row r="509" ht="14.25" customHeight="1">
      <c r="B509" s="1"/>
      <c r="P509" s="1"/>
    </row>
    <row r="510" ht="14.25" customHeight="1">
      <c r="B510" s="1"/>
      <c r="P510" s="1"/>
    </row>
    <row r="511" ht="14.25" customHeight="1">
      <c r="B511" s="1"/>
      <c r="P511" s="1"/>
    </row>
    <row r="512" ht="14.25" customHeight="1">
      <c r="B512" s="1"/>
      <c r="P512" s="1"/>
    </row>
    <row r="513" ht="14.25" customHeight="1">
      <c r="B513" s="1"/>
      <c r="P513" s="1"/>
    </row>
    <row r="514" ht="14.25" customHeight="1">
      <c r="B514" s="1"/>
      <c r="P514" s="1"/>
    </row>
    <row r="515" ht="14.25" customHeight="1">
      <c r="B515" s="1"/>
      <c r="P515" s="1"/>
    </row>
    <row r="516" ht="14.25" customHeight="1">
      <c r="B516" s="1"/>
      <c r="P516" s="1"/>
    </row>
    <row r="517" ht="14.25" customHeight="1">
      <c r="B517" s="1"/>
      <c r="P517" s="1"/>
    </row>
    <row r="518" ht="14.25" customHeight="1">
      <c r="B518" s="1"/>
      <c r="P518" s="1"/>
    </row>
    <row r="519" ht="14.25" customHeight="1">
      <c r="B519" s="1"/>
      <c r="P519" s="1"/>
    </row>
    <row r="520" ht="14.25" customHeight="1">
      <c r="B520" s="1"/>
      <c r="P520" s="1"/>
    </row>
    <row r="521" ht="14.25" customHeight="1">
      <c r="B521" s="1"/>
      <c r="P521" s="1"/>
    </row>
    <row r="522" ht="14.25" customHeight="1">
      <c r="B522" s="1"/>
      <c r="P522" s="1"/>
    </row>
    <row r="523" ht="14.25" customHeight="1">
      <c r="B523" s="1"/>
      <c r="P523" s="1"/>
    </row>
    <row r="524" ht="14.25" customHeight="1">
      <c r="B524" s="1"/>
      <c r="P524" s="1"/>
    </row>
    <row r="525" ht="14.25" customHeight="1">
      <c r="B525" s="1"/>
      <c r="P525" s="1"/>
    </row>
    <row r="526" ht="14.25" customHeight="1">
      <c r="B526" s="1"/>
      <c r="P526" s="1"/>
    </row>
    <row r="527" ht="14.25" customHeight="1">
      <c r="B527" s="1"/>
      <c r="P527" s="1"/>
    </row>
    <row r="528" ht="14.25" customHeight="1">
      <c r="B528" s="1"/>
      <c r="P528" s="1"/>
    </row>
    <row r="529" ht="14.25" customHeight="1">
      <c r="B529" s="1"/>
      <c r="P529" s="1"/>
    </row>
    <row r="530" ht="14.25" customHeight="1">
      <c r="B530" s="1"/>
      <c r="P530" s="1"/>
    </row>
    <row r="531" ht="14.25" customHeight="1">
      <c r="B531" s="1"/>
      <c r="P531" s="1"/>
    </row>
    <row r="532" ht="14.25" customHeight="1">
      <c r="B532" s="1"/>
      <c r="P532" s="1"/>
    </row>
    <row r="533" ht="14.25" customHeight="1">
      <c r="B533" s="1"/>
      <c r="P533" s="1"/>
    </row>
    <row r="534" ht="14.25" customHeight="1">
      <c r="B534" s="1"/>
      <c r="P534" s="1"/>
    </row>
    <row r="535" ht="14.25" customHeight="1">
      <c r="B535" s="1"/>
      <c r="P535" s="1"/>
    </row>
    <row r="536" ht="14.25" customHeight="1">
      <c r="B536" s="1"/>
      <c r="P536" s="1"/>
    </row>
    <row r="537" ht="14.25" customHeight="1">
      <c r="B537" s="1"/>
      <c r="P537" s="1"/>
    </row>
    <row r="538" ht="14.25" customHeight="1">
      <c r="B538" s="1"/>
      <c r="P538" s="1"/>
    </row>
    <row r="539" ht="14.25" customHeight="1">
      <c r="B539" s="1"/>
      <c r="P539" s="1"/>
    </row>
    <row r="540" ht="14.25" customHeight="1">
      <c r="B540" s="1"/>
      <c r="P540" s="1"/>
    </row>
    <row r="541" ht="14.25" customHeight="1">
      <c r="B541" s="1"/>
      <c r="P541" s="1"/>
    </row>
    <row r="542" ht="14.25" customHeight="1">
      <c r="B542" s="1"/>
      <c r="P542" s="1"/>
    </row>
    <row r="543" ht="14.25" customHeight="1">
      <c r="B543" s="1"/>
      <c r="P543" s="1"/>
    </row>
    <row r="544" ht="14.25" customHeight="1">
      <c r="B544" s="1"/>
      <c r="P544" s="1"/>
    </row>
    <row r="545" ht="14.25" customHeight="1">
      <c r="B545" s="1"/>
      <c r="P545" s="1"/>
    </row>
    <row r="546" ht="14.25" customHeight="1">
      <c r="B546" s="1"/>
      <c r="P546" s="1"/>
    </row>
    <row r="547" ht="14.25" customHeight="1">
      <c r="B547" s="1"/>
      <c r="P547" s="1"/>
    </row>
    <row r="548" ht="14.25" customHeight="1">
      <c r="B548" s="1"/>
      <c r="P548" s="1"/>
    </row>
    <row r="549" ht="14.25" customHeight="1">
      <c r="B549" s="1"/>
      <c r="P549" s="1"/>
    </row>
    <row r="550" ht="14.25" customHeight="1">
      <c r="B550" s="1"/>
      <c r="P550" s="1"/>
    </row>
    <row r="551" ht="14.25" customHeight="1">
      <c r="B551" s="1"/>
      <c r="P551" s="1"/>
    </row>
    <row r="552" ht="14.25" customHeight="1">
      <c r="B552" s="1"/>
      <c r="P552" s="1"/>
    </row>
    <row r="553" ht="14.25" customHeight="1">
      <c r="B553" s="1"/>
      <c r="P553" s="1"/>
    </row>
    <row r="554" ht="14.25" customHeight="1">
      <c r="B554" s="1"/>
      <c r="P554" s="1"/>
    </row>
    <row r="555" ht="14.25" customHeight="1">
      <c r="B555" s="1"/>
      <c r="P555" s="1"/>
    </row>
    <row r="556" ht="14.25" customHeight="1">
      <c r="B556" s="1"/>
      <c r="P556" s="1"/>
    </row>
    <row r="557" ht="14.25" customHeight="1">
      <c r="B557" s="1"/>
      <c r="P557" s="1"/>
    </row>
    <row r="558" ht="14.25" customHeight="1">
      <c r="B558" s="1"/>
      <c r="P558" s="1"/>
    </row>
    <row r="559" ht="14.25" customHeight="1">
      <c r="B559" s="1"/>
      <c r="P559" s="1"/>
    </row>
    <row r="560" ht="14.25" customHeight="1">
      <c r="B560" s="1"/>
      <c r="P560" s="1"/>
    </row>
    <row r="561" ht="14.25" customHeight="1">
      <c r="B561" s="1"/>
      <c r="P561" s="1"/>
    </row>
    <row r="562" ht="14.25" customHeight="1">
      <c r="B562" s="1"/>
      <c r="P562" s="1"/>
    </row>
    <row r="563" ht="14.25" customHeight="1">
      <c r="B563" s="1"/>
      <c r="P563" s="1"/>
    </row>
    <row r="564" ht="14.25" customHeight="1">
      <c r="B564" s="1"/>
      <c r="P564" s="1"/>
    </row>
    <row r="565" ht="14.25" customHeight="1">
      <c r="B565" s="1"/>
      <c r="P565" s="1"/>
    </row>
    <row r="566" ht="14.25" customHeight="1">
      <c r="B566" s="1"/>
      <c r="P566" s="1"/>
    </row>
    <row r="567" ht="14.25" customHeight="1">
      <c r="B567" s="1"/>
      <c r="P567" s="1"/>
    </row>
    <row r="568" ht="14.25" customHeight="1">
      <c r="B568" s="1"/>
      <c r="P568" s="1"/>
    </row>
    <row r="569" ht="14.25" customHeight="1">
      <c r="B569" s="1"/>
      <c r="P569" s="1"/>
    </row>
    <row r="570" ht="14.25" customHeight="1">
      <c r="B570" s="1"/>
      <c r="P570" s="1"/>
    </row>
    <row r="571" ht="14.25" customHeight="1">
      <c r="B571" s="1"/>
      <c r="P571" s="1"/>
    </row>
    <row r="572" ht="14.25" customHeight="1">
      <c r="B572" s="1"/>
      <c r="P572" s="1"/>
    </row>
    <row r="573" ht="14.25" customHeight="1">
      <c r="B573" s="1"/>
      <c r="P573" s="1"/>
    </row>
    <row r="574" ht="14.25" customHeight="1">
      <c r="B574" s="1"/>
      <c r="P574" s="1"/>
    </row>
    <row r="575" ht="14.25" customHeight="1">
      <c r="B575" s="1"/>
      <c r="P575" s="1"/>
    </row>
    <row r="576" ht="14.25" customHeight="1">
      <c r="B576" s="1"/>
      <c r="P576" s="1"/>
    </row>
    <row r="577" ht="14.25" customHeight="1">
      <c r="B577" s="1"/>
      <c r="P577" s="1"/>
    </row>
    <row r="578" ht="14.25" customHeight="1">
      <c r="B578" s="1"/>
      <c r="P578" s="1"/>
    </row>
    <row r="579" ht="14.25" customHeight="1">
      <c r="B579" s="1"/>
      <c r="P579" s="1"/>
    </row>
    <row r="580" ht="14.25" customHeight="1">
      <c r="B580" s="1"/>
      <c r="P580" s="1"/>
    </row>
    <row r="581" ht="14.25" customHeight="1">
      <c r="B581" s="1"/>
      <c r="P581" s="1"/>
    </row>
    <row r="582" ht="14.25" customHeight="1">
      <c r="B582" s="1"/>
      <c r="P582" s="1"/>
    </row>
    <row r="583" ht="14.25" customHeight="1">
      <c r="B583" s="1"/>
      <c r="P583" s="1"/>
    </row>
    <row r="584" ht="14.25" customHeight="1">
      <c r="B584" s="1"/>
      <c r="P584" s="1"/>
    </row>
    <row r="585" ht="14.25" customHeight="1">
      <c r="B585" s="1"/>
      <c r="P585" s="1"/>
    </row>
    <row r="586" ht="14.25" customHeight="1">
      <c r="B586" s="1"/>
      <c r="P586" s="1"/>
    </row>
    <row r="587" ht="14.25" customHeight="1">
      <c r="B587" s="1"/>
      <c r="P587" s="1"/>
    </row>
    <row r="588" ht="14.25" customHeight="1">
      <c r="B588" s="1"/>
      <c r="P588" s="1"/>
    </row>
    <row r="589" ht="14.25" customHeight="1">
      <c r="B589" s="1"/>
      <c r="P589" s="1"/>
    </row>
    <row r="590" ht="14.25" customHeight="1">
      <c r="B590" s="1"/>
      <c r="P590" s="1"/>
    </row>
    <row r="591" ht="14.25" customHeight="1">
      <c r="B591" s="1"/>
      <c r="P591" s="1"/>
    </row>
    <row r="592" ht="14.25" customHeight="1">
      <c r="B592" s="1"/>
      <c r="P592" s="1"/>
    </row>
    <row r="593" ht="14.25" customHeight="1">
      <c r="B593" s="1"/>
      <c r="P593" s="1"/>
    </row>
    <row r="594" ht="14.25" customHeight="1">
      <c r="B594" s="1"/>
      <c r="P594" s="1"/>
    </row>
    <row r="595" ht="14.25" customHeight="1">
      <c r="B595" s="1"/>
      <c r="P595" s="1"/>
    </row>
    <row r="596" ht="14.25" customHeight="1">
      <c r="B596" s="1"/>
      <c r="P596" s="1"/>
    </row>
    <row r="597" ht="14.25" customHeight="1">
      <c r="B597" s="1"/>
      <c r="P597" s="1"/>
    </row>
    <row r="598" ht="14.25" customHeight="1">
      <c r="B598" s="1"/>
      <c r="P598" s="1"/>
    </row>
    <row r="599" ht="14.25" customHeight="1">
      <c r="B599" s="1"/>
      <c r="P599" s="1"/>
    </row>
    <row r="600" ht="14.25" customHeight="1">
      <c r="B600" s="1"/>
      <c r="P600" s="1"/>
    </row>
    <row r="601" ht="14.25" customHeight="1">
      <c r="B601" s="1"/>
      <c r="P601" s="1"/>
    </row>
    <row r="602" ht="14.25" customHeight="1">
      <c r="B602" s="1"/>
      <c r="P602" s="1"/>
    </row>
    <row r="603" ht="14.25" customHeight="1">
      <c r="B603" s="1"/>
      <c r="P603" s="1"/>
    </row>
    <row r="604" ht="14.25" customHeight="1">
      <c r="B604" s="1"/>
      <c r="P604" s="1"/>
    </row>
    <row r="605" ht="14.25" customHeight="1">
      <c r="B605" s="1"/>
      <c r="P605" s="1"/>
    </row>
    <row r="606" ht="14.25" customHeight="1">
      <c r="B606" s="1"/>
      <c r="P606" s="1"/>
    </row>
    <row r="607" ht="14.25" customHeight="1">
      <c r="B607" s="1"/>
      <c r="P607" s="1"/>
    </row>
    <row r="608" ht="14.25" customHeight="1">
      <c r="B608" s="1"/>
      <c r="P608" s="1"/>
    </row>
    <row r="609" ht="14.25" customHeight="1">
      <c r="B609" s="1"/>
      <c r="P609" s="1"/>
    </row>
    <row r="610" ht="14.25" customHeight="1">
      <c r="B610" s="1"/>
      <c r="P610" s="1"/>
    </row>
    <row r="611" ht="14.25" customHeight="1">
      <c r="B611" s="1"/>
      <c r="P611" s="1"/>
    </row>
    <row r="612" ht="14.25" customHeight="1">
      <c r="B612" s="1"/>
      <c r="P612" s="1"/>
    </row>
    <row r="613" ht="14.25" customHeight="1">
      <c r="B613" s="1"/>
      <c r="P613" s="1"/>
    </row>
    <row r="614" ht="14.25" customHeight="1">
      <c r="B614" s="1"/>
      <c r="P614" s="1"/>
    </row>
    <row r="615" ht="14.25" customHeight="1">
      <c r="B615" s="1"/>
      <c r="P615" s="1"/>
    </row>
    <row r="616" ht="14.25" customHeight="1">
      <c r="B616" s="1"/>
      <c r="P616" s="1"/>
    </row>
    <row r="617" ht="14.25" customHeight="1">
      <c r="B617" s="1"/>
      <c r="P617" s="1"/>
    </row>
    <row r="618" ht="14.25" customHeight="1">
      <c r="B618" s="1"/>
      <c r="P618" s="1"/>
    </row>
    <row r="619" ht="14.25" customHeight="1">
      <c r="B619" s="1"/>
      <c r="P619" s="1"/>
    </row>
    <row r="620" ht="14.25" customHeight="1">
      <c r="B620" s="1"/>
      <c r="P620" s="1"/>
    </row>
    <row r="621" ht="14.25" customHeight="1">
      <c r="B621" s="1"/>
      <c r="P621" s="1"/>
    </row>
    <row r="622" ht="14.25" customHeight="1">
      <c r="B622" s="1"/>
      <c r="P622" s="1"/>
    </row>
    <row r="623" ht="14.25" customHeight="1">
      <c r="B623" s="1"/>
      <c r="P623" s="1"/>
    </row>
    <row r="624" ht="14.25" customHeight="1">
      <c r="B624" s="1"/>
      <c r="P624" s="1"/>
    </row>
    <row r="625" ht="14.25" customHeight="1">
      <c r="B625" s="1"/>
      <c r="P625" s="1"/>
    </row>
    <row r="626" ht="14.25" customHeight="1">
      <c r="B626" s="1"/>
      <c r="P626" s="1"/>
    </row>
    <row r="627" ht="14.25" customHeight="1">
      <c r="B627" s="1"/>
      <c r="P627" s="1"/>
    </row>
    <row r="628" ht="14.25" customHeight="1">
      <c r="B628" s="1"/>
      <c r="P628" s="1"/>
    </row>
    <row r="629" ht="14.25" customHeight="1">
      <c r="B629" s="1"/>
      <c r="P629" s="1"/>
    </row>
    <row r="630" ht="14.25" customHeight="1">
      <c r="B630" s="1"/>
      <c r="P630" s="1"/>
    </row>
    <row r="631" ht="14.25" customHeight="1">
      <c r="B631" s="1"/>
      <c r="P631" s="1"/>
    </row>
    <row r="632" ht="14.25" customHeight="1">
      <c r="B632" s="1"/>
      <c r="P632" s="1"/>
    </row>
    <row r="633" ht="14.25" customHeight="1">
      <c r="B633" s="1"/>
      <c r="P633" s="1"/>
    </row>
    <row r="634" ht="14.25" customHeight="1">
      <c r="B634" s="1"/>
      <c r="P634" s="1"/>
    </row>
    <row r="635" ht="14.25" customHeight="1">
      <c r="B635" s="1"/>
      <c r="P635" s="1"/>
    </row>
    <row r="636" ht="14.25" customHeight="1">
      <c r="B636" s="1"/>
      <c r="P636" s="1"/>
    </row>
    <row r="637" ht="14.25" customHeight="1">
      <c r="B637" s="1"/>
      <c r="P637" s="1"/>
    </row>
    <row r="638" ht="14.25" customHeight="1">
      <c r="B638" s="1"/>
      <c r="P638" s="1"/>
    </row>
    <row r="639" ht="14.25" customHeight="1">
      <c r="B639" s="1"/>
      <c r="P639" s="1"/>
    </row>
    <row r="640" ht="14.25" customHeight="1">
      <c r="B640" s="1"/>
      <c r="P640" s="1"/>
    </row>
    <row r="641" ht="14.25" customHeight="1">
      <c r="B641" s="1"/>
      <c r="P641" s="1"/>
    </row>
    <row r="642" ht="14.25" customHeight="1">
      <c r="B642" s="1"/>
      <c r="P642" s="1"/>
    </row>
    <row r="643" ht="14.25" customHeight="1">
      <c r="B643" s="1"/>
      <c r="P643" s="1"/>
    </row>
    <row r="644" ht="14.25" customHeight="1">
      <c r="B644" s="1"/>
      <c r="P644" s="1"/>
    </row>
    <row r="645" ht="14.25" customHeight="1">
      <c r="B645" s="1"/>
      <c r="P645" s="1"/>
    </row>
    <row r="646" ht="14.25" customHeight="1">
      <c r="B646" s="1"/>
      <c r="P646" s="1"/>
    </row>
    <row r="647" ht="14.25" customHeight="1">
      <c r="B647" s="1"/>
      <c r="P647" s="1"/>
    </row>
    <row r="648" ht="14.25" customHeight="1">
      <c r="B648" s="1"/>
      <c r="P648" s="1"/>
    </row>
    <row r="649" ht="14.25" customHeight="1">
      <c r="B649" s="1"/>
      <c r="P649" s="1"/>
    </row>
    <row r="650" ht="14.25" customHeight="1">
      <c r="B650" s="1"/>
      <c r="P650" s="1"/>
    </row>
    <row r="651" ht="14.25" customHeight="1">
      <c r="B651" s="1"/>
      <c r="P651" s="1"/>
    </row>
    <row r="652" ht="14.25" customHeight="1">
      <c r="B652" s="1"/>
      <c r="P652" s="1"/>
    </row>
    <row r="653" ht="14.25" customHeight="1">
      <c r="B653" s="1"/>
      <c r="P653" s="1"/>
    </row>
    <row r="654" ht="14.25" customHeight="1">
      <c r="B654" s="1"/>
      <c r="P654" s="1"/>
    </row>
    <row r="655" ht="14.25" customHeight="1">
      <c r="B655" s="1"/>
      <c r="P655" s="1"/>
    </row>
    <row r="656" ht="14.25" customHeight="1">
      <c r="B656" s="1"/>
      <c r="P656" s="1"/>
    </row>
    <row r="657" ht="14.25" customHeight="1">
      <c r="B657" s="1"/>
      <c r="P657" s="1"/>
    </row>
    <row r="658" ht="14.25" customHeight="1">
      <c r="B658" s="1"/>
      <c r="P658" s="1"/>
    </row>
    <row r="659" ht="14.25" customHeight="1">
      <c r="B659" s="1"/>
      <c r="P659" s="1"/>
    </row>
    <row r="660" ht="14.25" customHeight="1">
      <c r="B660" s="1"/>
      <c r="P660" s="1"/>
    </row>
    <row r="661" ht="14.25" customHeight="1">
      <c r="B661" s="1"/>
      <c r="P661" s="1"/>
    </row>
    <row r="662" ht="14.25" customHeight="1">
      <c r="B662" s="1"/>
      <c r="P662" s="1"/>
    </row>
    <row r="663" ht="14.25" customHeight="1">
      <c r="B663" s="1"/>
      <c r="P663" s="1"/>
    </row>
    <row r="664" ht="14.25" customHeight="1">
      <c r="B664" s="1"/>
      <c r="P664" s="1"/>
    </row>
    <row r="665" ht="14.25" customHeight="1">
      <c r="B665" s="1"/>
      <c r="P665" s="1"/>
    </row>
    <row r="666" ht="14.25" customHeight="1">
      <c r="B666" s="1"/>
      <c r="P666" s="1"/>
    </row>
    <row r="667" ht="14.25" customHeight="1">
      <c r="B667" s="1"/>
      <c r="P667" s="1"/>
    </row>
    <row r="668" ht="14.25" customHeight="1">
      <c r="B668" s="1"/>
      <c r="P668" s="1"/>
    </row>
    <row r="669" ht="14.25" customHeight="1">
      <c r="B669" s="1"/>
      <c r="P669" s="1"/>
    </row>
    <row r="670" ht="14.25" customHeight="1">
      <c r="B670" s="1"/>
      <c r="P670" s="1"/>
    </row>
    <row r="671" ht="14.25" customHeight="1">
      <c r="B671" s="1"/>
      <c r="P671" s="1"/>
    </row>
    <row r="672" ht="14.25" customHeight="1">
      <c r="B672" s="1"/>
      <c r="P672" s="1"/>
    </row>
    <row r="673" ht="14.25" customHeight="1">
      <c r="B673" s="1"/>
      <c r="P673" s="1"/>
    </row>
    <row r="674" ht="14.25" customHeight="1">
      <c r="B674" s="1"/>
      <c r="P674" s="1"/>
    </row>
    <row r="675" ht="14.25" customHeight="1">
      <c r="B675" s="1"/>
      <c r="P675" s="1"/>
    </row>
    <row r="676" ht="14.25" customHeight="1">
      <c r="B676" s="1"/>
      <c r="P676" s="1"/>
    </row>
    <row r="677" ht="14.25" customHeight="1">
      <c r="B677" s="1"/>
      <c r="P677" s="1"/>
    </row>
    <row r="678" ht="14.25" customHeight="1">
      <c r="B678" s="1"/>
      <c r="P678" s="1"/>
    </row>
    <row r="679" ht="14.25" customHeight="1">
      <c r="B679" s="1"/>
      <c r="P679" s="1"/>
    </row>
    <row r="680" ht="14.25" customHeight="1">
      <c r="B680" s="1"/>
      <c r="P680" s="1"/>
    </row>
    <row r="681" ht="14.25" customHeight="1">
      <c r="B681" s="1"/>
      <c r="P681" s="1"/>
    </row>
    <row r="682" ht="14.25" customHeight="1">
      <c r="B682" s="1"/>
      <c r="P682" s="1"/>
    </row>
    <row r="683" ht="14.25" customHeight="1">
      <c r="B683" s="1"/>
      <c r="P683" s="1"/>
    </row>
    <row r="684" ht="14.25" customHeight="1">
      <c r="B684" s="1"/>
      <c r="P684" s="1"/>
    </row>
    <row r="685" ht="14.25" customHeight="1">
      <c r="B685" s="1"/>
      <c r="P685" s="1"/>
    </row>
    <row r="686" ht="14.25" customHeight="1">
      <c r="B686" s="1"/>
      <c r="P686" s="1"/>
    </row>
    <row r="687" ht="14.25" customHeight="1">
      <c r="B687" s="1"/>
      <c r="P687" s="1"/>
    </row>
    <row r="688" ht="14.25" customHeight="1">
      <c r="B688" s="1"/>
      <c r="P688" s="1"/>
    </row>
    <row r="689" ht="14.25" customHeight="1">
      <c r="B689" s="1"/>
      <c r="P689" s="1"/>
    </row>
    <row r="690" ht="14.25" customHeight="1">
      <c r="B690" s="1"/>
      <c r="P690" s="1"/>
    </row>
    <row r="691" ht="14.25" customHeight="1">
      <c r="B691" s="1"/>
      <c r="P691" s="1"/>
    </row>
    <row r="692" ht="14.25" customHeight="1">
      <c r="B692" s="1"/>
      <c r="P692" s="1"/>
    </row>
    <row r="693" ht="14.25" customHeight="1">
      <c r="B693" s="1"/>
      <c r="P693" s="1"/>
    </row>
    <row r="694" ht="14.25" customHeight="1">
      <c r="B694" s="1"/>
      <c r="P694" s="1"/>
    </row>
    <row r="695" ht="14.25" customHeight="1">
      <c r="B695" s="1"/>
      <c r="P695" s="1"/>
    </row>
    <row r="696" ht="14.25" customHeight="1">
      <c r="B696" s="1"/>
      <c r="P696" s="1"/>
    </row>
    <row r="697" ht="14.25" customHeight="1">
      <c r="B697" s="1"/>
      <c r="P697" s="1"/>
    </row>
    <row r="698" ht="14.25" customHeight="1">
      <c r="B698" s="1"/>
      <c r="P698" s="1"/>
    </row>
    <row r="699" ht="14.25" customHeight="1">
      <c r="B699" s="1"/>
      <c r="P699" s="1"/>
    </row>
    <row r="700" ht="14.25" customHeight="1">
      <c r="B700" s="1"/>
      <c r="P700" s="1"/>
    </row>
    <row r="701" ht="14.25" customHeight="1">
      <c r="B701" s="1"/>
      <c r="P701" s="1"/>
    </row>
    <row r="702" ht="14.25" customHeight="1">
      <c r="B702" s="1"/>
      <c r="P702" s="1"/>
    </row>
    <row r="703" ht="14.25" customHeight="1">
      <c r="B703" s="1"/>
      <c r="P703" s="1"/>
    </row>
    <row r="704" ht="14.25" customHeight="1">
      <c r="B704" s="1"/>
      <c r="P704" s="1"/>
    </row>
    <row r="705" ht="14.25" customHeight="1">
      <c r="B705" s="1"/>
      <c r="P705" s="1"/>
    </row>
    <row r="706" ht="14.25" customHeight="1">
      <c r="B706" s="1"/>
      <c r="P706" s="1"/>
    </row>
    <row r="707" ht="14.25" customHeight="1">
      <c r="B707" s="1"/>
      <c r="P707" s="1"/>
    </row>
    <row r="708" ht="14.25" customHeight="1">
      <c r="B708" s="1"/>
      <c r="P708" s="1"/>
    </row>
    <row r="709" ht="14.25" customHeight="1">
      <c r="B709" s="1"/>
      <c r="P709" s="1"/>
    </row>
    <row r="710" ht="14.25" customHeight="1">
      <c r="B710" s="1"/>
      <c r="P710" s="1"/>
    </row>
    <row r="711" ht="14.25" customHeight="1">
      <c r="B711" s="1"/>
      <c r="P711" s="1"/>
    </row>
    <row r="712" ht="14.25" customHeight="1">
      <c r="B712" s="1"/>
      <c r="P712" s="1"/>
    </row>
    <row r="713" ht="14.25" customHeight="1">
      <c r="B713" s="1"/>
      <c r="P713" s="1"/>
    </row>
    <row r="714" ht="14.25" customHeight="1">
      <c r="B714" s="1"/>
      <c r="P714" s="1"/>
    </row>
    <row r="715" ht="14.25" customHeight="1">
      <c r="B715" s="1"/>
      <c r="P715" s="1"/>
    </row>
    <row r="716" ht="14.25" customHeight="1">
      <c r="B716" s="1"/>
      <c r="P716" s="1"/>
    </row>
    <row r="717" ht="14.25" customHeight="1">
      <c r="B717" s="1"/>
      <c r="P717" s="1"/>
    </row>
    <row r="718" ht="14.25" customHeight="1">
      <c r="B718" s="1"/>
      <c r="P718" s="1"/>
    </row>
    <row r="719" ht="14.25" customHeight="1">
      <c r="B719" s="1"/>
      <c r="P719" s="1"/>
    </row>
    <row r="720" ht="14.25" customHeight="1">
      <c r="B720" s="1"/>
      <c r="P720" s="1"/>
    </row>
    <row r="721" ht="14.25" customHeight="1">
      <c r="B721" s="1"/>
      <c r="P721" s="1"/>
    </row>
    <row r="722" ht="14.25" customHeight="1">
      <c r="B722" s="1"/>
      <c r="P722" s="1"/>
    </row>
    <row r="723" ht="14.25" customHeight="1">
      <c r="B723" s="1"/>
      <c r="P723" s="1"/>
    </row>
    <row r="724" ht="14.25" customHeight="1">
      <c r="B724" s="1"/>
      <c r="P724" s="1"/>
    </row>
    <row r="725" ht="14.25" customHeight="1">
      <c r="B725" s="1"/>
      <c r="P725" s="1"/>
    </row>
    <row r="726" ht="14.25" customHeight="1">
      <c r="B726" s="1"/>
      <c r="P726" s="1"/>
    </row>
    <row r="727" ht="14.25" customHeight="1">
      <c r="B727" s="1"/>
      <c r="P727" s="1"/>
    </row>
    <row r="728" ht="14.25" customHeight="1">
      <c r="B728" s="1"/>
      <c r="P728" s="1"/>
    </row>
    <row r="729" ht="14.25" customHeight="1">
      <c r="B729" s="1"/>
      <c r="P729" s="1"/>
    </row>
    <row r="730" ht="14.25" customHeight="1">
      <c r="B730" s="1"/>
      <c r="P730" s="1"/>
    </row>
    <row r="731" ht="14.25" customHeight="1">
      <c r="B731" s="1"/>
      <c r="P731" s="1"/>
    </row>
    <row r="732" ht="14.25" customHeight="1">
      <c r="B732" s="1"/>
      <c r="P732" s="1"/>
    </row>
    <row r="733" ht="14.25" customHeight="1">
      <c r="B733" s="1"/>
      <c r="P733" s="1"/>
    </row>
    <row r="734" ht="14.25" customHeight="1">
      <c r="B734" s="1"/>
      <c r="P734" s="1"/>
    </row>
    <row r="735" ht="14.25" customHeight="1">
      <c r="B735" s="1"/>
      <c r="P735" s="1"/>
    </row>
    <row r="736" ht="14.25" customHeight="1">
      <c r="B736" s="1"/>
      <c r="P736" s="1"/>
    </row>
    <row r="737" ht="14.25" customHeight="1">
      <c r="B737" s="1"/>
      <c r="P737" s="1"/>
    </row>
    <row r="738" ht="14.25" customHeight="1">
      <c r="B738" s="1"/>
      <c r="P738" s="1"/>
    </row>
    <row r="739" ht="14.25" customHeight="1">
      <c r="B739" s="1"/>
      <c r="P739" s="1"/>
    </row>
    <row r="740" ht="14.25" customHeight="1">
      <c r="B740" s="1"/>
      <c r="P740" s="1"/>
    </row>
    <row r="741" ht="14.25" customHeight="1">
      <c r="B741" s="1"/>
      <c r="P741" s="1"/>
    </row>
    <row r="742" ht="14.25" customHeight="1">
      <c r="B742" s="1"/>
      <c r="P742" s="1"/>
    </row>
    <row r="743" ht="14.25" customHeight="1">
      <c r="B743" s="1"/>
      <c r="P743" s="1"/>
    </row>
    <row r="744" ht="14.25" customHeight="1">
      <c r="B744" s="1"/>
      <c r="P744" s="1"/>
    </row>
    <row r="745" ht="14.25" customHeight="1">
      <c r="B745" s="1"/>
      <c r="P745" s="1"/>
    </row>
    <row r="746" ht="14.25" customHeight="1">
      <c r="B746" s="1"/>
      <c r="P746" s="1"/>
    </row>
    <row r="747" ht="14.25" customHeight="1">
      <c r="B747" s="1"/>
      <c r="P747" s="1"/>
    </row>
    <row r="748" ht="14.25" customHeight="1">
      <c r="B748" s="1"/>
      <c r="P748" s="1"/>
    </row>
    <row r="749" ht="14.25" customHeight="1">
      <c r="B749" s="1"/>
      <c r="P749" s="1"/>
    </row>
    <row r="750" ht="14.25" customHeight="1">
      <c r="B750" s="1"/>
      <c r="P750" s="1"/>
    </row>
    <row r="751" ht="14.25" customHeight="1">
      <c r="B751" s="1"/>
      <c r="P751" s="1"/>
    </row>
    <row r="752" ht="14.25" customHeight="1">
      <c r="B752" s="1"/>
      <c r="P752" s="1"/>
    </row>
    <row r="753" ht="14.25" customHeight="1">
      <c r="B753" s="1"/>
      <c r="P753" s="1"/>
    </row>
    <row r="754" ht="14.25" customHeight="1">
      <c r="B754" s="1"/>
      <c r="P754" s="1"/>
    </row>
    <row r="755" ht="14.25" customHeight="1">
      <c r="B755" s="1"/>
      <c r="P755" s="1"/>
    </row>
    <row r="756" ht="14.25" customHeight="1">
      <c r="B756" s="1"/>
      <c r="P756" s="1"/>
    </row>
    <row r="757" ht="14.25" customHeight="1">
      <c r="B757" s="1"/>
      <c r="P757" s="1"/>
    </row>
    <row r="758" ht="14.25" customHeight="1">
      <c r="B758" s="1"/>
      <c r="P758" s="1"/>
    </row>
    <row r="759" ht="14.25" customHeight="1">
      <c r="B759" s="1"/>
      <c r="P759" s="1"/>
    </row>
    <row r="760" ht="14.25" customHeight="1">
      <c r="B760" s="1"/>
      <c r="P760" s="1"/>
    </row>
    <row r="761" ht="14.25" customHeight="1">
      <c r="B761" s="1"/>
      <c r="P761" s="1"/>
    </row>
    <row r="762" ht="14.25" customHeight="1">
      <c r="B762" s="1"/>
      <c r="P762" s="1"/>
    </row>
    <row r="763" ht="14.25" customHeight="1">
      <c r="B763" s="1"/>
      <c r="P763" s="1"/>
    </row>
    <row r="764" ht="14.25" customHeight="1">
      <c r="B764" s="1"/>
      <c r="P764" s="1"/>
    </row>
    <row r="765" ht="14.25" customHeight="1">
      <c r="B765" s="1"/>
      <c r="P765" s="1"/>
    </row>
    <row r="766" ht="14.25" customHeight="1">
      <c r="B766" s="1"/>
      <c r="P766" s="1"/>
    </row>
    <row r="767" ht="14.25" customHeight="1">
      <c r="B767" s="1"/>
      <c r="P767" s="1"/>
    </row>
    <row r="768" ht="14.25" customHeight="1">
      <c r="B768" s="1"/>
      <c r="P768" s="1"/>
    </row>
    <row r="769" ht="14.25" customHeight="1">
      <c r="B769" s="1"/>
      <c r="P769" s="1"/>
    </row>
    <row r="770" ht="14.25" customHeight="1">
      <c r="B770" s="1"/>
      <c r="P770" s="1"/>
    </row>
    <row r="771" ht="14.25" customHeight="1">
      <c r="B771" s="1"/>
      <c r="P771" s="1"/>
    </row>
    <row r="772" ht="14.25" customHeight="1">
      <c r="B772" s="1"/>
      <c r="P772" s="1"/>
    </row>
    <row r="773" ht="14.25" customHeight="1">
      <c r="B773" s="1"/>
      <c r="P773" s="1"/>
    </row>
    <row r="774" ht="14.25" customHeight="1">
      <c r="B774" s="1"/>
      <c r="P774" s="1"/>
    </row>
    <row r="775" ht="14.25" customHeight="1">
      <c r="B775" s="1"/>
      <c r="P775" s="1"/>
    </row>
    <row r="776" ht="14.25" customHeight="1">
      <c r="B776" s="1"/>
      <c r="P776" s="1"/>
    </row>
    <row r="777" ht="14.25" customHeight="1">
      <c r="B777" s="1"/>
      <c r="P777" s="1"/>
    </row>
    <row r="778" ht="14.25" customHeight="1">
      <c r="B778" s="1"/>
      <c r="P778" s="1"/>
    </row>
    <row r="779" ht="14.25" customHeight="1">
      <c r="B779" s="1"/>
      <c r="P779" s="1"/>
    </row>
    <row r="780" ht="14.25" customHeight="1">
      <c r="B780" s="1"/>
      <c r="P780" s="1"/>
    </row>
    <row r="781" ht="14.25" customHeight="1">
      <c r="B781" s="1"/>
      <c r="P781" s="1"/>
    </row>
    <row r="782" ht="14.25" customHeight="1">
      <c r="B782" s="1"/>
      <c r="P782" s="1"/>
    </row>
    <row r="783" ht="14.25" customHeight="1">
      <c r="B783" s="1"/>
      <c r="P783" s="1"/>
    </row>
    <row r="784" ht="14.25" customHeight="1">
      <c r="B784" s="1"/>
      <c r="P784" s="1"/>
    </row>
    <row r="785" ht="14.25" customHeight="1">
      <c r="B785" s="1"/>
      <c r="P785" s="1"/>
    </row>
    <row r="786" ht="14.25" customHeight="1">
      <c r="B786" s="1"/>
      <c r="P786" s="1"/>
    </row>
    <row r="787" ht="14.25" customHeight="1">
      <c r="B787" s="1"/>
      <c r="P787" s="1"/>
    </row>
    <row r="788" ht="14.25" customHeight="1">
      <c r="B788" s="1"/>
      <c r="P788" s="1"/>
    </row>
    <row r="789" ht="14.25" customHeight="1">
      <c r="B789" s="1"/>
      <c r="P789" s="1"/>
    </row>
    <row r="790" ht="14.25" customHeight="1">
      <c r="B790" s="1"/>
      <c r="P790" s="1"/>
    </row>
    <row r="791" ht="14.25" customHeight="1">
      <c r="B791" s="1"/>
      <c r="P791" s="1"/>
    </row>
    <row r="792" ht="14.25" customHeight="1">
      <c r="B792" s="1"/>
      <c r="P792" s="1"/>
    </row>
    <row r="793" ht="14.25" customHeight="1">
      <c r="B793" s="1"/>
      <c r="P793" s="1"/>
    </row>
    <row r="794" ht="14.25" customHeight="1">
      <c r="B794" s="1"/>
      <c r="P794" s="1"/>
    </row>
    <row r="795" ht="14.25" customHeight="1">
      <c r="B795" s="1"/>
      <c r="P795" s="1"/>
    </row>
    <row r="796" ht="14.25" customHeight="1">
      <c r="B796" s="1"/>
      <c r="P796" s="1"/>
    </row>
    <row r="797" ht="14.25" customHeight="1">
      <c r="B797" s="1"/>
      <c r="P797" s="1"/>
    </row>
    <row r="798" ht="14.25" customHeight="1">
      <c r="B798" s="1"/>
      <c r="P798" s="1"/>
    </row>
    <row r="799" ht="14.25" customHeight="1">
      <c r="B799" s="1"/>
      <c r="P799" s="1"/>
    </row>
    <row r="800" ht="14.25" customHeight="1">
      <c r="B800" s="1"/>
      <c r="P800" s="1"/>
    </row>
    <row r="801" ht="14.25" customHeight="1">
      <c r="B801" s="1"/>
      <c r="P801" s="1"/>
    </row>
    <row r="802" ht="14.25" customHeight="1">
      <c r="B802" s="1"/>
      <c r="P802" s="1"/>
    </row>
    <row r="803" ht="14.25" customHeight="1">
      <c r="B803" s="1"/>
      <c r="P803" s="1"/>
    </row>
    <row r="804" ht="14.25" customHeight="1">
      <c r="B804" s="1"/>
      <c r="P804" s="1"/>
    </row>
    <row r="805" ht="14.25" customHeight="1">
      <c r="B805" s="1"/>
      <c r="P805" s="1"/>
    </row>
    <row r="806" ht="14.25" customHeight="1">
      <c r="B806" s="1"/>
      <c r="P806" s="1"/>
    </row>
    <row r="807" ht="14.25" customHeight="1">
      <c r="B807" s="1"/>
      <c r="P807" s="1"/>
    </row>
    <row r="808" ht="14.25" customHeight="1">
      <c r="B808" s="1"/>
      <c r="P808" s="1"/>
    </row>
    <row r="809" ht="14.25" customHeight="1">
      <c r="B809" s="1"/>
      <c r="P809" s="1"/>
    </row>
    <row r="810" ht="14.25" customHeight="1">
      <c r="B810" s="1"/>
      <c r="P810" s="1"/>
    </row>
    <row r="811" ht="14.25" customHeight="1">
      <c r="B811" s="1"/>
      <c r="P811" s="1"/>
    </row>
    <row r="812" ht="14.25" customHeight="1">
      <c r="B812" s="1"/>
      <c r="P812" s="1"/>
    </row>
    <row r="813" ht="14.25" customHeight="1">
      <c r="B813" s="1"/>
      <c r="P813" s="1"/>
    </row>
    <row r="814" ht="14.25" customHeight="1">
      <c r="B814" s="1"/>
      <c r="P814" s="1"/>
    </row>
    <row r="815" ht="14.25" customHeight="1">
      <c r="B815" s="1"/>
      <c r="P815" s="1"/>
    </row>
    <row r="816" ht="14.25" customHeight="1">
      <c r="B816" s="1"/>
      <c r="P816" s="1"/>
    </row>
    <row r="817" ht="14.25" customHeight="1">
      <c r="B817" s="1"/>
      <c r="P817" s="1"/>
    </row>
    <row r="818" ht="14.25" customHeight="1">
      <c r="B818" s="1"/>
      <c r="P818" s="1"/>
    </row>
    <row r="819" ht="14.25" customHeight="1">
      <c r="B819" s="1"/>
      <c r="P819" s="1"/>
    </row>
    <row r="820" ht="14.25" customHeight="1">
      <c r="B820" s="1"/>
      <c r="P820" s="1"/>
    </row>
    <row r="821" ht="14.25" customHeight="1">
      <c r="B821" s="1"/>
      <c r="P821" s="1"/>
    </row>
    <row r="822" ht="14.25" customHeight="1">
      <c r="B822" s="1"/>
      <c r="P822" s="1"/>
    </row>
    <row r="823" ht="14.25" customHeight="1">
      <c r="B823" s="1"/>
      <c r="P823" s="1"/>
    </row>
    <row r="824" ht="14.25" customHeight="1">
      <c r="B824" s="1"/>
      <c r="P824" s="1"/>
    </row>
    <row r="825" ht="14.25" customHeight="1">
      <c r="B825" s="1"/>
      <c r="P825" s="1"/>
    </row>
    <row r="826" ht="14.25" customHeight="1">
      <c r="B826" s="1"/>
      <c r="P826" s="1"/>
    </row>
    <row r="827" ht="14.25" customHeight="1">
      <c r="B827" s="1"/>
      <c r="P827" s="1"/>
    </row>
    <row r="828" ht="14.25" customHeight="1">
      <c r="B828" s="1"/>
      <c r="P828" s="1"/>
    </row>
    <row r="829" ht="14.25" customHeight="1">
      <c r="B829" s="1"/>
      <c r="P829" s="1"/>
    </row>
    <row r="830" ht="14.25" customHeight="1">
      <c r="B830" s="1"/>
      <c r="P830" s="1"/>
    </row>
    <row r="831" ht="14.25" customHeight="1">
      <c r="B831" s="1"/>
      <c r="P831" s="1"/>
    </row>
    <row r="832" ht="14.25" customHeight="1">
      <c r="B832" s="1"/>
      <c r="P832" s="1"/>
    </row>
    <row r="833" ht="14.25" customHeight="1">
      <c r="B833" s="1"/>
      <c r="P833" s="1"/>
    </row>
    <row r="834" ht="14.25" customHeight="1">
      <c r="B834" s="1"/>
      <c r="P834" s="1"/>
    </row>
    <row r="835" ht="14.25" customHeight="1">
      <c r="B835" s="1"/>
      <c r="P835" s="1"/>
    </row>
    <row r="836" ht="14.25" customHeight="1">
      <c r="B836" s="1"/>
      <c r="P836" s="1"/>
    </row>
    <row r="837" ht="14.25" customHeight="1">
      <c r="B837" s="1"/>
      <c r="P837" s="1"/>
    </row>
    <row r="838" ht="14.25" customHeight="1">
      <c r="B838" s="1"/>
      <c r="P838" s="1"/>
    </row>
    <row r="839" ht="14.25" customHeight="1">
      <c r="B839" s="1"/>
      <c r="P839" s="1"/>
    </row>
    <row r="840" ht="14.25" customHeight="1">
      <c r="B840" s="1"/>
      <c r="P840" s="1"/>
    </row>
    <row r="841" ht="14.25" customHeight="1">
      <c r="B841" s="1"/>
      <c r="P841" s="1"/>
    </row>
    <row r="842" ht="14.25" customHeight="1">
      <c r="B842" s="1"/>
      <c r="P842" s="1"/>
    </row>
    <row r="843" ht="14.25" customHeight="1">
      <c r="B843" s="1"/>
      <c r="P843" s="1"/>
    </row>
    <row r="844" ht="14.25" customHeight="1">
      <c r="B844" s="1"/>
      <c r="P844" s="1"/>
    </row>
    <row r="845" ht="14.25" customHeight="1">
      <c r="B845" s="1"/>
      <c r="P845" s="1"/>
    </row>
    <row r="846" ht="14.25" customHeight="1">
      <c r="B846" s="1"/>
      <c r="P846" s="1"/>
    </row>
    <row r="847" ht="14.25" customHeight="1">
      <c r="B847" s="1"/>
      <c r="P847" s="1"/>
    </row>
    <row r="848" ht="14.25" customHeight="1">
      <c r="B848" s="1"/>
      <c r="P848" s="1"/>
    </row>
    <row r="849" ht="14.25" customHeight="1">
      <c r="B849" s="1"/>
      <c r="P849" s="1"/>
    </row>
    <row r="850" ht="14.25" customHeight="1">
      <c r="B850" s="1"/>
      <c r="P850" s="1"/>
    </row>
    <row r="851" ht="14.25" customHeight="1">
      <c r="B851" s="1"/>
      <c r="P851" s="1"/>
    </row>
    <row r="852" ht="14.25" customHeight="1">
      <c r="B852" s="1"/>
      <c r="P852" s="1"/>
    </row>
    <row r="853" ht="14.25" customHeight="1">
      <c r="B853" s="1"/>
      <c r="P853" s="1"/>
    </row>
    <row r="854" ht="14.25" customHeight="1">
      <c r="B854" s="1"/>
      <c r="P854" s="1"/>
    </row>
    <row r="855" ht="14.25" customHeight="1">
      <c r="B855" s="1"/>
      <c r="P855" s="1"/>
    </row>
    <row r="856" ht="14.25" customHeight="1">
      <c r="B856" s="1"/>
      <c r="P856" s="1"/>
    </row>
    <row r="857" ht="14.25" customHeight="1">
      <c r="B857" s="1"/>
      <c r="P857" s="1"/>
    </row>
    <row r="858" ht="14.25" customHeight="1">
      <c r="B858" s="1"/>
      <c r="P858" s="1"/>
    </row>
    <row r="859" ht="14.25" customHeight="1">
      <c r="B859" s="1"/>
      <c r="P859" s="1"/>
    </row>
    <row r="860" ht="14.25" customHeight="1">
      <c r="B860" s="1"/>
      <c r="P860" s="1"/>
    </row>
    <row r="861" ht="14.25" customHeight="1">
      <c r="B861" s="1"/>
      <c r="P861" s="1"/>
    </row>
    <row r="862" ht="14.25" customHeight="1">
      <c r="B862" s="1"/>
      <c r="P862" s="1"/>
    </row>
    <row r="863" ht="14.25" customHeight="1">
      <c r="B863" s="1"/>
      <c r="P863" s="1"/>
    </row>
    <row r="864" ht="14.25" customHeight="1">
      <c r="B864" s="1"/>
      <c r="P864" s="1"/>
    </row>
    <row r="865" ht="14.25" customHeight="1">
      <c r="B865" s="1"/>
      <c r="P865" s="1"/>
    </row>
    <row r="866" ht="14.25" customHeight="1">
      <c r="B866" s="1"/>
      <c r="P866" s="1"/>
    </row>
    <row r="867" ht="14.25" customHeight="1">
      <c r="B867" s="1"/>
      <c r="P867" s="1"/>
    </row>
    <row r="868" ht="14.25" customHeight="1">
      <c r="B868" s="1"/>
      <c r="P868" s="1"/>
    </row>
    <row r="869" ht="14.25" customHeight="1">
      <c r="B869" s="1"/>
      <c r="P869" s="1"/>
    </row>
    <row r="870" ht="14.25" customHeight="1">
      <c r="B870" s="1"/>
      <c r="P870" s="1"/>
    </row>
    <row r="871" ht="14.25" customHeight="1">
      <c r="B871" s="1"/>
      <c r="P871" s="1"/>
    </row>
    <row r="872" ht="14.25" customHeight="1">
      <c r="B872" s="1"/>
      <c r="P872" s="1"/>
    </row>
    <row r="873" ht="14.25" customHeight="1">
      <c r="B873" s="1"/>
      <c r="P873" s="1"/>
    </row>
    <row r="874" ht="14.25" customHeight="1">
      <c r="B874" s="1"/>
      <c r="P874" s="1"/>
    </row>
    <row r="875" ht="14.25" customHeight="1">
      <c r="B875" s="1"/>
      <c r="P875" s="1"/>
    </row>
    <row r="876" ht="14.25" customHeight="1">
      <c r="B876" s="1"/>
      <c r="P876" s="1"/>
    </row>
    <row r="877" ht="14.25" customHeight="1">
      <c r="B877" s="1"/>
      <c r="P877" s="1"/>
    </row>
    <row r="878" ht="14.25" customHeight="1">
      <c r="B878" s="1"/>
      <c r="P878" s="1"/>
    </row>
    <row r="879" ht="14.25" customHeight="1">
      <c r="B879" s="1"/>
      <c r="P879" s="1"/>
    </row>
    <row r="880" ht="14.25" customHeight="1">
      <c r="B880" s="1"/>
      <c r="P880" s="1"/>
    </row>
    <row r="881" ht="14.25" customHeight="1">
      <c r="B881" s="1"/>
      <c r="P881" s="1"/>
    </row>
    <row r="882" ht="14.25" customHeight="1">
      <c r="B882" s="1"/>
      <c r="P882" s="1"/>
    </row>
    <row r="883" ht="14.25" customHeight="1">
      <c r="B883" s="1"/>
      <c r="P883" s="1"/>
    </row>
    <row r="884" ht="14.25" customHeight="1">
      <c r="B884" s="1"/>
      <c r="P884" s="1"/>
    </row>
    <row r="885" ht="14.25" customHeight="1">
      <c r="B885" s="1"/>
      <c r="P885" s="1"/>
    </row>
    <row r="886" ht="14.25" customHeight="1">
      <c r="B886" s="1"/>
      <c r="P886" s="1"/>
    </row>
    <row r="887" ht="14.25" customHeight="1">
      <c r="B887" s="1"/>
      <c r="P887" s="1"/>
    </row>
    <row r="888" ht="14.25" customHeight="1">
      <c r="B888" s="1"/>
      <c r="P888" s="1"/>
    </row>
    <row r="889" ht="14.25" customHeight="1">
      <c r="B889" s="1"/>
      <c r="P889" s="1"/>
    </row>
    <row r="890" ht="14.25" customHeight="1">
      <c r="B890" s="1"/>
      <c r="P890" s="1"/>
    </row>
    <row r="891" ht="14.25" customHeight="1">
      <c r="B891" s="1"/>
      <c r="P891" s="1"/>
    </row>
    <row r="892" ht="14.25" customHeight="1">
      <c r="B892" s="1"/>
      <c r="P892" s="1"/>
    </row>
    <row r="893" ht="14.25" customHeight="1">
      <c r="B893" s="1"/>
      <c r="P893" s="1"/>
    </row>
    <row r="894" ht="14.25" customHeight="1">
      <c r="B894" s="1"/>
      <c r="P894" s="1"/>
    </row>
    <row r="895" ht="14.25" customHeight="1">
      <c r="B895" s="1"/>
      <c r="P895" s="1"/>
    </row>
    <row r="896" ht="14.25" customHeight="1">
      <c r="B896" s="1"/>
      <c r="P896" s="1"/>
    </row>
    <row r="897" ht="14.25" customHeight="1">
      <c r="B897" s="1"/>
      <c r="P897" s="1"/>
    </row>
    <row r="898" ht="14.25" customHeight="1">
      <c r="B898" s="1"/>
      <c r="P898" s="1"/>
    </row>
    <row r="899" ht="14.25" customHeight="1">
      <c r="B899" s="1"/>
      <c r="P899" s="1"/>
    </row>
    <row r="900" ht="14.25" customHeight="1">
      <c r="B900" s="1"/>
      <c r="P900" s="1"/>
    </row>
    <row r="901" ht="14.25" customHeight="1">
      <c r="B901" s="1"/>
      <c r="P901" s="1"/>
    </row>
    <row r="902" ht="14.25" customHeight="1">
      <c r="B902" s="1"/>
      <c r="P902" s="1"/>
    </row>
    <row r="903" ht="14.25" customHeight="1">
      <c r="B903" s="1"/>
      <c r="P903" s="1"/>
    </row>
    <row r="904" ht="14.25" customHeight="1">
      <c r="B904" s="1"/>
      <c r="P904" s="1"/>
    </row>
    <row r="905" ht="14.25" customHeight="1">
      <c r="B905" s="1"/>
      <c r="P905" s="1"/>
    </row>
    <row r="906" ht="14.25" customHeight="1">
      <c r="B906" s="1"/>
      <c r="P906" s="1"/>
    </row>
    <row r="907" ht="14.25" customHeight="1">
      <c r="B907" s="1"/>
      <c r="P907" s="1"/>
    </row>
    <row r="908" ht="14.25" customHeight="1">
      <c r="B908" s="1"/>
      <c r="P908" s="1"/>
    </row>
    <row r="909" ht="14.25" customHeight="1">
      <c r="B909" s="1"/>
      <c r="P909" s="1"/>
    </row>
    <row r="910" ht="14.25" customHeight="1">
      <c r="B910" s="1"/>
      <c r="P910" s="1"/>
    </row>
    <row r="911" ht="14.25" customHeight="1">
      <c r="B911" s="1"/>
      <c r="P911" s="1"/>
    </row>
    <row r="912" ht="14.25" customHeight="1">
      <c r="B912" s="1"/>
      <c r="P912" s="1"/>
    </row>
    <row r="913" ht="14.25" customHeight="1">
      <c r="B913" s="1"/>
      <c r="P913" s="1"/>
    </row>
    <row r="914" ht="14.25" customHeight="1">
      <c r="B914" s="1"/>
      <c r="P914" s="1"/>
    </row>
    <row r="915" ht="14.25" customHeight="1">
      <c r="B915" s="1"/>
      <c r="P915" s="1"/>
    </row>
    <row r="916" ht="14.25" customHeight="1">
      <c r="B916" s="1"/>
      <c r="P916" s="1"/>
    </row>
    <row r="917" ht="14.25" customHeight="1">
      <c r="B917" s="1"/>
      <c r="P917" s="1"/>
    </row>
    <row r="918" ht="14.25" customHeight="1">
      <c r="B918" s="1"/>
      <c r="P918" s="1"/>
    </row>
    <row r="919" ht="14.25" customHeight="1">
      <c r="B919" s="1"/>
      <c r="P919" s="1"/>
    </row>
    <row r="920" ht="14.25" customHeight="1">
      <c r="B920" s="1"/>
      <c r="P920" s="1"/>
    </row>
    <row r="921" ht="14.25" customHeight="1">
      <c r="B921" s="1"/>
      <c r="P921" s="1"/>
    </row>
    <row r="922" ht="14.25" customHeight="1">
      <c r="B922" s="1"/>
      <c r="P922" s="1"/>
    </row>
    <row r="923" ht="14.25" customHeight="1">
      <c r="B923" s="1"/>
      <c r="P923" s="1"/>
    </row>
    <row r="924" ht="14.25" customHeight="1">
      <c r="B924" s="1"/>
      <c r="P924" s="1"/>
    </row>
    <row r="925" ht="14.25" customHeight="1">
      <c r="B925" s="1"/>
      <c r="P925" s="1"/>
    </row>
    <row r="926" ht="14.25" customHeight="1">
      <c r="B926" s="1"/>
      <c r="P926" s="1"/>
    </row>
    <row r="927" ht="14.25" customHeight="1">
      <c r="B927" s="1"/>
      <c r="P927" s="1"/>
    </row>
    <row r="928" ht="14.25" customHeight="1">
      <c r="B928" s="1"/>
      <c r="P928" s="1"/>
    </row>
    <row r="929" ht="14.25" customHeight="1">
      <c r="B929" s="1"/>
      <c r="P929" s="1"/>
    </row>
    <row r="930" ht="14.25" customHeight="1">
      <c r="B930" s="1"/>
      <c r="P930" s="1"/>
    </row>
    <row r="931" ht="14.25" customHeight="1">
      <c r="B931" s="1"/>
      <c r="P931" s="1"/>
    </row>
    <row r="932" ht="14.25" customHeight="1">
      <c r="B932" s="1"/>
      <c r="P932" s="1"/>
    </row>
    <row r="933" ht="14.25" customHeight="1">
      <c r="B933" s="1"/>
      <c r="P933" s="1"/>
    </row>
    <row r="934" ht="14.25" customHeight="1">
      <c r="B934" s="1"/>
      <c r="P934" s="1"/>
    </row>
    <row r="935" ht="14.25" customHeight="1">
      <c r="B935" s="1"/>
      <c r="P935" s="1"/>
    </row>
    <row r="936" ht="14.25" customHeight="1">
      <c r="B936" s="1"/>
      <c r="P936" s="1"/>
    </row>
    <row r="937" ht="14.25" customHeight="1">
      <c r="B937" s="1"/>
      <c r="P937" s="1"/>
    </row>
    <row r="938" ht="14.25" customHeight="1">
      <c r="B938" s="1"/>
      <c r="P938" s="1"/>
    </row>
    <row r="939" ht="14.25" customHeight="1">
      <c r="B939" s="1"/>
      <c r="P939" s="1"/>
    </row>
    <row r="940" ht="14.25" customHeight="1">
      <c r="B940" s="1"/>
      <c r="P940" s="1"/>
    </row>
    <row r="941" ht="14.25" customHeight="1">
      <c r="B941" s="1"/>
      <c r="P941" s="1"/>
    </row>
    <row r="942" ht="14.25" customHeight="1">
      <c r="B942" s="1"/>
      <c r="P942" s="1"/>
    </row>
    <row r="943" ht="14.25" customHeight="1">
      <c r="B943" s="1"/>
      <c r="P943" s="1"/>
    </row>
    <row r="944" ht="14.25" customHeight="1">
      <c r="B944" s="1"/>
      <c r="P944" s="1"/>
    </row>
    <row r="945" ht="14.25" customHeight="1">
      <c r="B945" s="1"/>
      <c r="P945" s="1"/>
    </row>
    <row r="946" ht="14.25" customHeight="1">
      <c r="B946" s="1"/>
      <c r="P946" s="1"/>
    </row>
    <row r="947" ht="14.25" customHeight="1">
      <c r="B947" s="1"/>
      <c r="P947" s="1"/>
    </row>
    <row r="948" ht="14.25" customHeight="1">
      <c r="B948" s="1"/>
      <c r="P948" s="1"/>
    </row>
    <row r="949" ht="14.25" customHeight="1">
      <c r="B949" s="1"/>
      <c r="P949" s="1"/>
    </row>
    <row r="950" ht="14.25" customHeight="1">
      <c r="B950" s="1"/>
      <c r="P950" s="1"/>
    </row>
    <row r="951" ht="14.25" customHeight="1">
      <c r="B951" s="1"/>
      <c r="P951" s="1"/>
    </row>
    <row r="952" ht="14.25" customHeight="1">
      <c r="B952" s="1"/>
      <c r="P952" s="1"/>
    </row>
    <row r="953" ht="14.25" customHeight="1">
      <c r="B953" s="1"/>
      <c r="P953" s="1"/>
    </row>
    <row r="954" ht="14.25" customHeight="1">
      <c r="B954" s="1"/>
      <c r="P954" s="1"/>
    </row>
    <row r="955" ht="14.25" customHeight="1">
      <c r="B955" s="1"/>
      <c r="P955" s="1"/>
    </row>
    <row r="956" ht="14.25" customHeight="1">
      <c r="B956" s="1"/>
      <c r="P956" s="1"/>
    </row>
    <row r="957" ht="14.25" customHeight="1">
      <c r="B957" s="1"/>
      <c r="P957" s="1"/>
    </row>
    <row r="958" ht="14.25" customHeight="1">
      <c r="B958" s="1"/>
      <c r="P958" s="1"/>
    </row>
    <row r="959" ht="14.25" customHeight="1">
      <c r="B959" s="1"/>
      <c r="P959" s="1"/>
    </row>
    <row r="960" ht="14.25" customHeight="1">
      <c r="B960" s="1"/>
      <c r="P960" s="1"/>
    </row>
    <row r="961" ht="14.25" customHeight="1">
      <c r="B961" s="1"/>
      <c r="P961" s="1"/>
    </row>
    <row r="962" ht="14.25" customHeight="1">
      <c r="B962" s="1"/>
      <c r="P962" s="1"/>
    </row>
    <row r="963" ht="14.25" customHeight="1">
      <c r="B963" s="1"/>
      <c r="P963" s="1"/>
    </row>
    <row r="964" ht="14.25" customHeight="1">
      <c r="B964" s="1"/>
      <c r="P964" s="1"/>
    </row>
    <row r="965" ht="14.25" customHeight="1">
      <c r="B965" s="1"/>
      <c r="P965" s="1"/>
    </row>
    <row r="966" ht="14.25" customHeight="1">
      <c r="B966" s="1"/>
      <c r="P966" s="1"/>
    </row>
    <row r="967" ht="14.25" customHeight="1">
      <c r="B967" s="1"/>
      <c r="P967" s="1"/>
    </row>
    <row r="968" ht="14.25" customHeight="1">
      <c r="B968" s="1"/>
      <c r="P968" s="1"/>
    </row>
    <row r="969" ht="14.25" customHeight="1">
      <c r="B969" s="1"/>
      <c r="P969" s="1"/>
    </row>
    <row r="970" ht="14.25" customHeight="1">
      <c r="B970" s="1"/>
      <c r="P970" s="1"/>
    </row>
    <row r="971" ht="14.25" customHeight="1">
      <c r="B971" s="1"/>
      <c r="P971" s="1"/>
    </row>
    <row r="972" ht="14.25" customHeight="1">
      <c r="B972" s="1"/>
      <c r="P972" s="1"/>
    </row>
    <row r="973" ht="14.25" customHeight="1">
      <c r="B973" s="1"/>
      <c r="P973" s="1"/>
    </row>
    <row r="974" ht="14.25" customHeight="1">
      <c r="B974" s="1"/>
      <c r="P974" s="1"/>
    </row>
    <row r="975" ht="14.25" customHeight="1">
      <c r="B975" s="1"/>
      <c r="P975" s="1"/>
    </row>
    <row r="976" ht="14.25" customHeight="1">
      <c r="B976" s="1"/>
      <c r="P976" s="1"/>
    </row>
    <row r="977" ht="14.25" customHeight="1">
      <c r="B977" s="1"/>
      <c r="P977" s="1"/>
    </row>
    <row r="978" ht="14.25" customHeight="1">
      <c r="B978" s="1"/>
      <c r="P978" s="1"/>
    </row>
    <row r="979" ht="14.25" customHeight="1">
      <c r="B979" s="1"/>
      <c r="P979" s="1"/>
    </row>
    <row r="980" ht="14.25" customHeight="1">
      <c r="B980" s="1"/>
      <c r="P980" s="1"/>
    </row>
    <row r="981" ht="14.25" customHeight="1">
      <c r="B981" s="1"/>
      <c r="P981" s="1"/>
    </row>
    <row r="982" ht="14.25" customHeight="1">
      <c r="B982" s="1"/>
      <c r="P982" s="1"/>
    </row>
    <row r="983" ht="14.25" customHeight="1">
      <c r="B983" s="1"/>
      <c r="P983" s="1"/>
    </row>
    <row r="984" ht="14.25" customHeight="1">
      <c r="B984" s="1"/>
      <c r="P984" s="1"/>
    </row>
    <row r="985" ht="14.25" customHeight="1">
      <c r="B985" s="1"/>
      <c r="P985" s="1"/>
    </row>
    <row r="986" ht="14.25" customHeight="1">
      <c r="B986" s="1"/>
      <c r="P986" s="1"/>
    </row>
    <row r="987" ht="14.25" customHeight="1">
      <c r="B987" s="1"/>
      <c r="P987" s="1"/>
    </row>
    <row r="988" ht="14.25" customHeight="1">
      <c r="B988" s="1"/>
      <c r="P988" s="1"/>
    </row>
    <row r="989" ht="14.25" customHeight="1">
      <c r="B989" s="1"/>
      <c r="P989" s="1"/>
    </row>
    <row r="990" ht="14.25" customHeight="1">
      <c r="B990" s="1"/>
      <c r="P990" s="1"/>
    </row>
    <row r="991" ht="14.25" customHeight="1">
      <c r="B991" s="1"/>
      <c r="P991" s="1"/>
    </row>
    <row r="992" ht="14.25" customHeight="1">
      <c r="B992" s="1"/>
      <c r="P992" s="1"/>
    </row>
    <row r="993" ht="14.25" customHeight="1">
      <c r="B993" s="1"/>
      <c r="P993" s="1"/>
    </row>
    <row r="994" ht="14.25" customHeight="1">
      <c r="B994" s="1"/>
      <c r="P994" s="1"/>
    </row>
    <row r="995" ht="14.25" customHeight="1">
      <c r="B995" s="1"/>
      <c r="P995" s="1"/>
    </row>
    <row r="996" ht="14.25" customHeight="1">
      <c r="B996" s="1"/>
      <c r="P996" s="1"/>
    </row>
    <row r="997" ht="14.25" customHeight="1">
      <c r="B997" s="1"/>
      <c r="P997" s="1"/>
    </row>
    <row r="998" ht="14.25" customHeight="1">
      <c r="B998" s="1"/>
      <c r="P998" s="1"/>
    </row>
    <row r="999" ht="14.25" customHeight="1">
      <c r="B999" s="1"/>
      <c r="P999" s="1"/>
    </row>
    <row r="1000" ht="14.25" customHeight="1">
      <c r="B1000" s="1"/>
      <c r="P1000" s="1"/>
    </row>
  </sheetData>
  <mergeCells count="3">
    <mergeCell ref="I2:P2"/>
    <mergeCell ref="I3:P3"/>
    <mergeCell ref="I5:P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6.0"/>
    <col customWidth="1" min="4" max="4" width="22.43"/>
    <col customWidth="1" min="5" max="5" width="15.86"/>
    <col customWidth="1" min="6" max="6" width="10.43"/>
    <col customWidth="1" min="7" max="7" width="13.0"/>
    <col customWidth="1" min="8" max="8" width="16.29"/>
    <col customWidth="1" min="9" max="9" width="14.29"/>
    <col customWidth="1" min="10" max="10" width="15.29"/>
    <col customWidth="1" min="11" max="11" width="18.0"/>
    <col customWidth="1" min="12" max="26" width="9.0"/>
  </cols>
  <sheetData>
    <row r="1" ht="27.0" customHeight="1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4.5" customHeight="1">
      <c r="A2" s="17"/>
      <c r="B2" s="17"/>
      <c r="C2" s="17"/>
      <c r="D2" s="17"/>
      <c r="E2" s="17"/>
      <c r="H2" s="18"/>
      <c r="I2" s="18"/>
      <c r="J2" s="18"/>
      <c r="K2" s="18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8.0" customHeight="1">
      <c r="A3" s="17"/>
      <c r="B3" s="17"/>
      <c r="C3" s="17"/>
      <c r="D3" s="17"/>
      <c r="E3" s="17"/>
      <c r="H3" s="19" t="s">
        <v>48</v>
      </c>
      <c r="I3" s="19" t="s">
        <v>49</v>
      </c>
      <c r="J3" s="19" t="s">
        <v>50</v>
      </c>
      <c r="K3" s="19" t="s">
        <v>51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17"/>
      <c r="B4" s="17"/>
      <c r="C4" s="17"/>
      <c r="D4" s="17"/>
      <c r="E4" s="17"/>
      <c r="H4" s="20" t="s">
        <v>52</v>
      </c>
      <c r="I4" s="21">
        <f>COUNTIFS(Department,H4)</f>
        <v>4</v>
      </c>
      <c r="J4" s="22">
        <f>SUMIFS('HR Wages'!$F$13:$F$47,Department,$H4)</f>
        <v>15</v>
      </c>
      <c r="K4" s="22">
        <f>SUMIFS('HR Wages'!$G$13:$G$47,Department,$H4)</f>
        <v>46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17"/>
      <c r="B5" s="17"/>
      <c r="C5" s="17"/>
      <c r="D5" s="17"/>
      <c r="E5" s="17"/>
      <c r="H5" s="20" t="s">
        <v>53</v>
      </c>
      <c r="I5" s="21">
        <f>COUNTIFS(Department,H5)</f>
        <v>5</v>
      </c>
      <c r="J5" s="22">
        <f>SUMIFS('HR Wages'!$F$13:$F$47,Department,$H5)</f>
        <v>10</v>
      </c>
      <c r="K5" s="22">
        <f>SUMIFS('HR Wages'!$G$13:$G$47,Department,$H5)</f>
        <v>52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7"/>
      <c r="B6" s="17"/>
      <c r="C6" s="17"/>
      <c r="D6" s="17"/>
      <c r="E6" s="17"/>
      <c r="H6" s="20" t="s">
        <v>54</v>
      </c>
      <c r="I6" s="21">
        <f>COUNTIFS(Department,H6)</f>
        <v>2</v>
      </c>
      <c r="J6" s="22">
        <f>SUMIFS('HR Wages'!$F$13:$F$47,Department,$H6)</f>
        <v>5</v>
      </c>
      <c r="K6" s="22">
        <f>SUMIFS('HR Wages'!$G$13:$G$47,Department,$H6)</f>
        <v>10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17"/>
      <c r="B7" s="17"/>
      <c r="C7" s="17"/>
      <c r="D7" s="17"/>
      <c r="E7" s="17"/>
      <c r="H7" s="20" t="s">
        <v>55</v>
      </c>
      <c r="I7" s="21">
        <f>COUNTIFS(Department,H7)</f>
        <v>4</v>
      </c>
      <c r="J7" s="22">
        <f>SUMIFS('HR Wages'!$F$13:$F$47,Department,$H7)</f>
        <v>12</v>
      </c>
      <c r="K7" s="22">
        <f>SUMIFS('HR Wages'!$G$13:$G$47,Department,$H7)</f>
        <v>38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7"/>
      <c r="B8" s="17"/>
      <c r="C8" s="17"/>
      <c r="D8" s="17"/>
      <c r="E8" s="17"/>
      <c r="H8" s="20" t="s">
        <v>56</v>
      </c>
      <c r="I8" s="21">
        <f>COUNTIFS(Department,H8)</f>
        <v>5</v>
      </c>
      <c r="J8" s="22">
        <f>SUMIFS('HR Wages'!$F$13:$F$47,Department,$H8)</f>
        <v>18</v>
      </c>
      <c r="K8" s="22">
        <f>SUMIFS('HR Wages'!$G$13:$G$47,Department,$H8)</f>
        <v>83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17"/>
      <c r="B9" s="17"/>
      <c r="C9" s="17"/>
      <c r="D9" s="17"/>
      <c r="E9" s="17"/>
      <c r="F9" s="17"/>
      <c r="G9" s="17"/>
      <c r="H9" s="20" t="s">
        <v>57</v>
      </c>
      <c r="I9" s="21">
        <f>COUNTIFS(Department,H9)</f>
        <v>15</v>
      </c>
      <c r="J9" s="22">
        <f>SUMIFS('HR Wages'!$F$13:$F$47,Department,$H9)</f>
        <v>46</v>
      </c>
      <c r="K9" s="22">
        <f>SUMIFS('HR Wages'!$G$13:$G$47,Department,$H9)</f>
        <v>190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23" t="s">
        <v>58</v>
      </c>
      <c r="B10" s="24"/>
      <c r="C10" s="17"/>
      <c r="D10" s="17"/>
      <c r="E10" s="17"/>
      <c r="F10" s="17"/>
      <c r="G10" s="17"/>
      <c r="I10" s="25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6.5" customHeight="1">
      <c r="A12" s="18" t="s">
        <v>59</v>
      </c>
      <c r="B12" s="18" t="s">
        <v>60</v>
      </c>
      <c r="C12" s="18" t="s">
        <v>61</v>
      </c>
      <c r="D12" s="18" t="s">
        <v>62</v>
      </c>
      <c r="E12" s="18" t="s">
        <v>63</v>
      </c>
      <c r="F12" s="26" t="s">
        <v>64</v>
      </c>
      <c r="G12" s="26" t="s">
        <v>65</v>
      </c>
      <c r="H12" s="26" t="s">
        <v>66</v>
      </c>
      <c r="I12" s="18" t="s">
        <v>67</v>
      </c>
      <c r="J12" s="26" t="s">
        <v>68</v>
      </c>
      <c r="K12" s="2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17" t="s">
        <v>69</v>
      </c>
      <c r="B13" s="17" t="s">
        <v>70</v>
      </c>
      <c r="C13" s="17" t="s">
        <v>71</v>
      </c>
      <c r="D13" s="17" t="s">
        <v>72</v>
      </c>
      <c r="E13" s="27" t="s">
        <v>56</v>
      </c>
      <c r="F13" s="28">
        <v>2.0</v>
      </c>
      <c r="G13" s="28">
        <v>17.0</v>
      </c>
      <c r="H13" s="17">
        <f t="shared" ref="H13:H47" si="1">Leave_Allowance-G13</f>
        <v>3</v>
      </c>
      <c r="I13" s="28">
        <v>43.0</v>
      </c>
      <c r="J13" s="29">
        <v>104.8</v>
      </c>
      <c r="K13" s="29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7" t="s">
        <v>73</v>
      </c>
      <c r="B14" s="17" t="s">
        <v>70</v>
      </c>
      <c r="C14" s="17" t="s">
        <v>74</v>
      </c>
      <c r="D14" s="17" t="s">
        <v>75</v>
      </c>
      <c r="E14" s="27" t="s">
        <v>53</v>
      </c>
      <c r="F14" s="28">
        <v>8.0</v>
      </c>
      <c r="G14" s="28">
        <v>15.0</v>
      </c>
      <c r="H14" s="17">
        <f t="shared" si="1"/>
        <v>5</v>
      </c>
      <c r="I14" s="28">
        <v>34.0</v>
      </c>
      <c r="J14" s="29">
        <v>75.9</v>
      </c>
      <c r="K14" s="29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7" t="s">
        <v>76</v>
      </c>
      <c r="B15" s="17" t="s">
        <v>70</v>
      </c>
      <c r="C15" s="17" t="s">
        <v>77</v>
      </c>
      <c r="D15" s="17" t="s">
        <v>78</v>
      </c>
      <c r="E15" s="27" t="s">
        <v>57</v>
      </c>
      <c r="F15" s="28">
        <v>3.0</v>
      </c>
      <c r="G15" s="28">
        <v>19.0</v>
      </c>
      <c r="H15" s="17">
        <f t="shared" si="1"/>
        <v>1</v>
      </c>
      <c r="I15" s="28">
        <v>34.0</v>
      </c>
      <c r="J15" s="29">
        <v>73.0</v>
      </c>
      <c r="K15" s="29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7" t="s">
        <v>79</v>
      </c>
      <c r="B16" s="17" t="s">
        <v>70</v>
      </c>
      <c r="C16" s="17" t="s">
        <v>80</v>
      </c>
      <c r="D16" s="17" t="s">
        <v>81</v>
      </c>
      <c r="E16" s="27" t="s">
        <v>53</v>
      </c>
      <c r="F16" s="28">
        <v>0.0</v>
      </c>
      <c r="G16" s="28">
        <v>15.0</v>
      </c>
      <c r="H16" s="17">
        <f t="shared" si="1"/>
        <v>5</v>
      </c>
      <c r="I16" s="28">
        <v>32.0</v>
      </c>
      <c r="J16" s="29">
        <v>62.5</v>
      </c>
      <c r="K16" s="29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17" t="s">
        <v>82</v>
      </c>
      <c r="B17" s="17" t="s">
        <v>70</v>
      </c>
      <c r="C17" s="17" t="s">
        <v>83</v>
      </c>
      <c r="D17" s="17" t="s">
        <v>84</v>
      </c>
      <c r="E17" s="27" t="s">
        <v>57</v>
      </c>
      <c r="F17" s="28">
        <v>6.0</v>
      </c>
      <c r="G17" s="28">
        <v>20.0</v>
      </c>
      <c r="H17" s="17">
        <f t="shared" si="1"/>
        <v>0</v>
      </c>
      <c r="I17" s="28">
        <v>34.0</v>
      </c>
      <c r="J17" s="29">
        <v>186.4</v>
      </c>
      <c r="K17" s="29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 t="s">
        <v>85</v>
      </c>
      <c r="B18" s="17" t="s">
        <v>70</v>
      </c>
      <c r="C18" s="17" t="s">
        <v>86</v>
      </c>
      <c r="D18" s="17" t="s">
        <v>87</v>
      </c>
      <c r="E18" s="27" t="s">
        <v>52</v>
      </c>
      <c r="F18" s="28">
        <v>5.0</v>
      </c>
      <c r="G18" s="28">
        <v>18.0</v>
      </c>
      <c r="H18" s="17">
        <f t="shared" si="1"/>
        <v>2</v>
      </c>
      <c r="I18" s="28">
        <v>33.0</v>
      </c>
      <c r="J18" s="29">
        <v>119.0</v>
      </c>
      <c r="K18" s="29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 t="s">
        <v>88</v>
      </c>
      <c r="B19" s="17" t="s">
        <v>70</v>
      </c>
      <c r="C19" s="17" t="s">
        <v>89</v>
      </c>
      <c r="D19" s="17" t="s">
        <v>90</v>
      </c>
      <c r="E19" s="27" t="s">
        <v>57</v>
      </c>
      <c r="F19" s="28">
        <v>3.0</v>
      </c>
      <c r="G19" s="28">
        <v>16.0</v>
      </c>
      <c r="H19" s="17">
        <f t="shared" si="1"/>
        <v>4</v>
      </c>
      <c r="I19" s="28">
        <v>43.0</v>
      </c>
      <c r="J19" s="29">
        <v>92.5</v>
      </c>
      <c r="K19" s="29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 t="s">
        <v>91</v>
      </c>
      <c r="B20" s="17" t="s">
        <v>70</v>
      </c>
      <c r="C20" s="17" t="s">
        <v>92</v>
      </c>
      <c r="D20" s="17" t="s">
        <v>93</v>
      </c>
      <c r="E20" s="27" t="s">
        <v>53</v>
      </c>
      <c r="F20" s="28">
        <v>1.0</v>
      </c>
      <c r="G20" s="28">
        <v>14.0</v>
      </c>
      <c r="H20" s="17">
        <f t="shared" si="1"/>
        <v>6</v>
      </c>
      <c r="I20" s="28">
        <v>36.0</v>
      </c>
      <c r="J20" s="29">
        <v>92.6</v>
      </c>
      <c r="K20" s="29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7" t="s">
        <v>94</v>
      </c>
      <c r="B21" s="17" t="s">
        <v>70</v>
      </c>
      <c r="C21" s="17" t="s">
        <v>95</v>
      </c>
      <c r="D21" s="17" t="s">
        <v>96</v>
      </c>
      <c r="E21" s="17" t="s">
        <v>56</v>
      </c>
      <c r="F21" s="28">
        <v>5.0</v>
      </c>
      <c r="G21" s="28">
        <v>18.0</v>
      </c>
      <c r="H21" s="17">
        <f t="shared" si="1"/>
        <v>2</v>
      </c>
      <c r="I21" s="17">
        <v>43.0</v>
      </c>
      <c r="J21" s="29">
        <v>88.4</v>
      </c>
      <c r="K21" s="29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 t="s">
        <v>97</v>
      </c>
      <c r="B22" s="17" t="s">
        <v>70</v>
      </c>
      <c r="C22" s="17" t="s">
        <v>98</v>
      </c>
      <c r="D22" s="17" t="s">
        <v>99</v>
      </c>
      <c r="E22" s="27" t="s">
        <v>55</v>
      </c>
      <c r="F22" s="28">
        <v>4.0</v>
      </c>
      <c r="G22" s="28">
        <v>6.0</v>
      </c>
      <c r="H22" s="17">
        <f t="shared" si="1"/>
        <v>14</v>
      </c>
      <c r="I22" s="28">
        <v>30.0</v>
      </c>
      <c r="J22" s="29">
        <v>53.5</v>
      </c>
      <c r="K22" s="29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 t="s">
        <v>100</v>
      </c>
      <c r="B23" s="17" t="s">
        <v>70</v>
      </c>
      <c r="C23" s="17" t="s">
        <v>101</v>
      </c>
      <c r="D23" s="17" t="s">
        <v>102</v>
      </c>
      <c r="E23" s="27" t="s">
        <v>57</v>
      </c>
      <c r="F23" s="28">
        <v>1.0</v>
      </c>
      <c r="G23" s="28">
        <v>17.0</v>
      </c>
      <c r="H23" s="17">
        <f t="shared" si="1"/>
        <v>3</v>
      </c>
      <c r="I23" s="28">
        <v>37.0</v>
      </c>
      <c r="J23" s="29">
        <v>146.5</v>
      </c>
      <c r="K23" s="29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 t="s">
        <v>103</v>
      </c>
      <c r="B24" s="17" t="s">
        <v>70</v>
      </c>
      <c r="C24" s="17" t="s">
        <v>104</v>
      </c>
      <c r="D24" s="17" t="s">
        <v>105</v>
      </c>
      <c r="E24" s="27" t="s">
        <v>52</v>
      </c>
      <c r="F24" s="28">
        <v>2.0</v>
      </c>
      <c r="G24" s="28">
        <v>12.0</v>
      </c>
      <c r="H24" s="17">
        <f t="shared" si="1"/>
        <v>8</v>
      </c>
      <c r="I24" s="28">
        <v>34.0</v>
      </c>
      <c r="J24" s="29">
        <v>153.1</v>
      </c>
      <c r="K24" s="29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7" t="s">
        <v>106</v>
      </c>
      <c r="B25" s="17" t="s">
        <v>70</v>
      </c>
      <c r="C25" s="17" t="s">
        <v>107</v>
      </c>
      <c r="D25" s="17" t="s">
        <v>108</v>
      </c>
      <c r="E25" s="27" t="s">
        <v>57</v>
      </c>
      <c r="F25" s="28">
        <v>2.0</v>
      </c>
      <c r="G25" s="28">
        <v>4.0</v>
      </c>
      <c r="H25" s="17">
        <f t="shared" si="1"/>
        <v>16</v>
      </c>
      <c r="I25" s="28">
        <v>37.0</v>
      </c>
      <c r="J25" s="29">
        <v>105.7</v>
      </c>
      <c r="K25" s="29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 t="s">
        <v>109</v>
      </c>
      <c r="B26" s="17" t="s">
        <v>70</v>
      </c>
      <c r="C26" s="17" t="s">
        <v>110</v>
      </c>
      <c r="D26" s="17" t="s">
        <v>111</v>
      </c>
      <c r="E26" s="27" t="s">
        <v>57</v>
      </c>
      <c r="F26" s="28">
        <v>2.0</v>
      </c>
      <c r="G26" s="28">
        <v>16.0</v>
      </c>
      <c r="H26" s="17">
        <f t="shared" si="1"/>
        <v>4</v>
      </c>
      <c r="I26" s="28">
        <v>45.0</v>
      </c>
      <c r="J26" s="29">
        <v>140.5</v>
      </c>
      <c r="K26" s="29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7" t="s">
        <v>112</v>
      </c>
      <c r="B27" s="17" t="s">
        <v>70</v>
      </c>
      <c r="C27" s="17" t="s">
        <v>113</v>
      </c>
      <c r="D27" s="17" t="s">
        <v>114</v>
      </c>
      <c r="E27" s="27" t="s">
        <v>56</v>
      </c>
      <c r="F27" s="28">
        <v>1.0</v>
      </c>
      <c r="G27" s="28">
        <v>13.0</v>
      </c>
      <c r="H27" s="17">
        <f t="shared" si="1"/>
        <v>7</v>
      </c>
      <c r="I27" s="28">
        <v>44.0</v>
      </c>
      <c r="J27" s="29">
        <v>81.2</v>
      </c>
      <c r="K27" s="29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 t="s">
        <v>115</v>
      </c>
      <c r="B28" s="17" t="s">
        <v>70</v>
      </c>
      <c r="C28" s="17" t="s">
        <v>116</v>
      </c>
      <c r="D28" s="17" t="s">
        <v>117</v>
      </c>
      <c r="E28" s="27" t="s">
        <v>57</v>
      </c>
      <c r="F28" s="28">
        <v>1.0</v>
      </c>
      <c r="G28" s="28">
        <v>9.0</v>
      </c>
      <c r="H28" s="17">
        <f t="shared" si="1"/>
        <v>11</v>
      </c>
      <c r="I28" s="28">
        <v>38.0</v>
      </c>
      <c r="J28" s="29">
        <v>145.9</v>
      </c>
      <c r="K28" s="29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 t="s">
        <v>118</v>
      </c>
      <c r="B29" s="17" t="s">
        <v>70</v>
      </c>
      <c r="C29" s="17" t="s">
        <v>119</v>
      </c>
      <c r="D29" s="17" t="s">
        <v>120</v>
      </c>
      <c r="E29" s="27" t="s">
        <v>54</v>
      </c>
      <c r="F29" s="28">
        <v>3.0</v>
      </c>
      <c r="G29" s="28">
        <v>1.0</v>
      </c>
      <c r="H29" s="17">
        <f t="shared" si="1"/>
        <v>19</v>
      </c>
      <c r="I29" s="28">
        <v>42.0</v>
      </c>
      <c r="J29" s="29">
        <v>178.8</v>
      </c>
      <c r="K29" s="29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 t="s">
        <v>121</v>
      </c>
      <c r="B30" s="17" t="s">
        <v>122</v>
      </c>
      <c r="C30" s="17" t="s">
        <v>123</v>
      </c>
      <c r="D30" s="17" t="s">
        <v>124</v>
      </c>
      <c r="E30" s="27" t="s">
        <v>54</v>
      </c>
      <c r="F30" s="28">
        <v>2.0</v>
      </c>
      <c r="G30" s="28">
        <v>9.0</v>
      </c>
      <c r="H30" s="17">
        <f t="shared" si="1"/>
        <v>11</v>
      </c>
      <c r="I30" s="28">
        <v>15.0</v>
      </c>
      <c r="J30" s="29">
        <v>113.4</v>
      </c>
      <c r="K30" s="29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 t="s">
        <v>125</v>
      </c>
      <c r="B31" s="17" t="s">
        <v>122</v>
      </c>
      <c r="C31" s="17" t="s">
        <v>126</v>
      </c>
      <c r="D31" s="17" t="s">
        <v>127</v>
      </c>
      <c r="E31" s="27" t="s">
        <v>57</v>
      </c>
      <c r="F31" s="28">
        <v>4.0</v>
      </c>
      <c r="G31" s="28">
        <v>14.0</v>
      </c>
      <c r="H31" s="17">
        <f t="shared" si="1"/>
        <v>6</v>
      </c>
      <c r="I31" s="28">
        <v>19.0</v>
      </c>
      <c r="J31" s="29">
        <v>157.0</v>
      </c>
      <c r="K31" s="29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 t="s">
        <v>128</v>
      </c>
      <c r="B32" s="17" t="s">
        <v>122</v>
      </c>
      <c r="C32" s="17" t="s">
        <v>129</v>
      </c>
      <c r="D32" s="17" t="s">
        <v>130</v>
      </c>
      <c r="E32" s="27" t="s">
        <v>57</v>
      </c>
      <c r="F32" s="28">
        <v>8.0</v>
      </c>
      <c r="G32" s="28">
        <v>4.0</v>
      </c>
      <c r="H32" s="17">
        <f t="shared" si="1"/>
        <v>16</v>
      </c>
      <c r="I32" s="28">
        <v>10.0</v>
      </c>
      <c r="J32" s="29">
        <v>156.0</v>
      </c>
      <c r="K32" s="29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 t="s">
        <v>131</v>
      </c>
      <c r="B33" s="17" t="s">
        <v>122</v>
      </c>
      <c r="C33" s="17" t="s">
        <v>132</v>
      </c>
      <c r="D33" s="17" t="s">
        <v>133</v>
      </c>
      <c r="E33" s="27" t="s">
        <v>56</v>
      </c>
      <c r="F33" s="28">
        <v>5.0</v>
      </c>
      <c r="G33" s="28">
        <v>17.0</v>
      </c>
      <c r="H33" s="17">
        <f t="shared" si="1"/>
        <v>3</v>
      </c>
      <c r="I33" s="28">
        <v>6.0</v>
      </c>
      <c r="J33" s="29">
        <v>99.3</v>
      </c>
      <c r="K33" s="29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 t="s">
        <v>134</v>
      </c>
      <c r="B34" s="17" t="s">
        <v>122</v>
      </c>
      <c r="C34" s="17" t="s">
        <v>135</v>
      </c>
      <c r="D34" s="17" t="s">
        <v>136</v>
      </c>
      <c r="E34" s="27" t="s">
        <v>57</v>
      </c>
      <c r="F34" s="28">
        <v>1.0</v>
      </c>
      <c r="G34" s="28">
        <v>20.0</v>
      </c>
      <c r="H34" s="17">
        <f t="shared" si="1"/>
        <v>0</v>
      </c>
      <c r="I34" s="28">
        <v>18.0</v>
      </c>
      <c r="J34" s="29">
        <v>158.7</v>
      </c>
      <c r="K34" s="29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 t="s">
        <v>137</v>
      </c>
      <c r="B35" s="17" t="s">
        <v>122</v>
      </c>
      <c r="C35" s="17" t="s">
        <v>138</v>
      </c>
      <c r="D35" s="17" t="s">
        <v>139</v>
      </c>
      <c r="E35" s="27" t="s">
        <v>57</v>
      </c>
      <c r="F35" s="28">
        <v>4.0</v>
      </c>
      <c r="G35" s="28">
        <v>15.0</v>
      </c>
      <c r="H35" s="17">
        <f t="shared" si="1"/>
        <v>5</v>
      </c>
      <c r="I35" s="28">
        <v>28.0</v>
      </c>
      <c r="J35" s="29">
        <v>73.7</v>
      </c>
      <c r="K35" s="29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 t="s">
        <v>140</v>
      </c>
      <c r="B36" s="17" t="s">
        <v>122</v>
      </c>
      <c r="C36" s="17" t="s">
        <v>141</v>
      </c>
      <c r="D36" s="17" t="s">
        <v>142</v>
      </c>
      <c r="E36" s="27" t="s">
        <v>55</v>
      </c>
      <c r="F36" s="28">
        <v>7.0</v>
      </c>
      <c r="G36" s="28">
        <v>18.0</v>
      </c>
      <c r="H36" s="17">
        <f t="shared" si="1"/>
        <v>2</v>
      </c>
      <c r="I36" s="28">
        <v>10.0</v>
      </c>
      <c r="J36" s="29">
        <v>128.1</v>
      </c>
      <c r="K36" s="29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 t="s">
        <v>143</v>
      </c>
      <c r="B37" s="17" t="s">
        <v>122</v>
      </c>
      <c r="C37" s="17" t="s">
        <v>144</v>
      </c>
      <c r="D37" s="17" t="s">
        <v>145</v>
      </c>
      <c r="E37" s="27" t="s">
        <v>56</v>
      </c>
      <c r="F37" s="28">
        <v>5.0</v>
      </c>
      <c r="G37" s="28">
        <v>18.0</v>
      </c>
      <c r="H37" s="17">
        <f t="shared" si="1"/>
        <v>2</v>
      </c>
      <c r="I37" s="28">
        <v>5.0</v>
      </c>
      <c r="J37" s="29">
        <v>95.0</v>
      </c>
      <c r="K37" s="29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 t="s">
        <v>146</v>
      </c>
      <c r="B38" s="17" t="s">
        <v>122</v>
      </c>
      <c r="C38" s="17" t="s">
        <v>147</v>
      </c>
      <c r="D38" s="17" t="s">
        <v>148</v>
      </c>
      <c r="E38" s="27" t="s">
        <v>53</v>
      </c>
      <c r="F38" s="28">
        <v>0.0</v>
      </c>
      <c r="G38" s="28">
        <v>3.0</v>
      </c>
      <c r="H38" s="17">
        <f t="shared" si="1"/>
        <v>17</v>
      </c>
      <c r="I38" s="28">
        <v>24.0</v>
      </c>
      <c r="J38" s="29">
        <v>76.6</v>
      </c>
      <c r="K38" s="29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 t="s">
        <v>149</v>
      </c>
      <c r="B39" s="17" t="s">
        <v>122</v>
      </c>
      <c r="C39" s="17" t="s">
        <v>150</v>
      </c>
      <c r="D39" s="17" t="s">
        <v>151</v>
      </c>
      <c r="E39" s="27" t="s">
        <v>52</v>
      </c>
      <c r="F39" s="28">
        <v>5.0</v>
      </c>
      <c r="G39" s="28">
        <v>7.0</v>
      </c>
      <c r="H39" s="17">
        <f t="shared" si="1"/>
        <v>13</v>
      </c>
      <c r="I39" s="28">
        <v>19.0</v>
      </c>
      <c r="J39" s="29">
        <v>96.4</v>
      </c>
      <c r="K39" s="29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 t="s">
        <v>152</v>
      </c>
      <c r="B40" s="17" t="s">
        <v>122</v>
      </c>
      <c r="C40" s="17" t="s">
        <v>153</v>
      </c>
      <c r="D40" s="17" t="s">
        <v>154</v>
      </c>
      <c r="E40" s="27" t="s">
        <v>57</v>
      </c>
      <c r="F40" s="28">
        <v>3.0</v>
      </c>
      <c r="G40" s="28">
        <v>12.0</v>
      </c>
      <c r="H40" s="17">
        <f t="shared" si="1"/>
        <v>8</v>
      </c>
      <c r="I40" s="28">
        <v>28.0</v>
      </c>
      <c r="J40" s="29">
        <v>185.2</v>
      </c>
      <c r="K40" s="29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 t="s">
        <v>155</v>
      </c>
      <c r="B41" s="17" t="s">
        <v>122</v>
      </c>
      <c r="C41" s="17" t="s">
        <v>156</v>
      </c>
      <c r="D41" s="17" t="s">
        <v>157</v>
      </c>
      <c r="E41" s="27" t="s">
        <v>52</v>
      </c>
      <c r="F41" s="28">
        <v>3.0</v>
      </c>
      <c r="G41" s="28">
        <v>9.0</v>
      </c>
      <c r="H41" s="17">
        <f t="shared" si="1"/>
        <v>11</v>
      </c>
      <c r="I41" s="28">
        <v>13.0</v>
      </c>
      <c r="J41" s="29">
        <v>64.3</v>
      </c>
      <c r="K41" s="29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 t="s">
        <v>158</v>
      </c>
      <c r="B42" s="17" t="s">
        <v>122</v>
      </c>
      <c r="C42" s="17" t="s">
        <v>159</v>
      </c>
      <c r="D42" s="17" t="s">
        <v>160</v>
      </c>
      <c r="E42" s="27" t="s">
        <v>55</v>
      </c>
      <c r="F42" s="28">
        <v>0.0</v>
      </c>
      <c r="G42" s="28">
        <v>12.0</v>
      </c>
      <c r="H42" s="17">
        <f t="shared" si="1"/>
        <v>8</v>
      </c>
      <c r="I42" s="28">
        <v>26.0</v>
      </c>
      <c r="J42" s="29">
        <v>63.2</v>
      </c>
      <c r="K42" s="29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 t="s">
        <v>161</v>
      </c>
      <c r="B43" s="17" t="s">
        <v>122</v>
      </c>
      <c r="C43" s="17" t="s">
        <v>162</v>
      </c>
      <c r="D43" s="17" t="s">
        <v>163</v>
      </c>
      <c r="E43" s="27" t="s">
        <v>57</v>
      </c>
      <c r="F43" s="28">
        <v>2.0</v>
      </c>
      <c r="G43" s="28">
        <v>8.0</v>
      </c>
      <c r="H43" s="17">
        <f t="shared" si="1"/>
        <v>12</v>
      </c>
      <c r="I43" s="28">
        <v>17.0</v>
      </c>
      <c r="J43" s="29">
        <v>126.0</v>
      </c>
      <c r="K43" s="29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 t="s">
        <v>164</v>
      </c>
      <c r="B44" s="17" t="s">
        <v>122</v>
      </c>
      <c r="C44" s="17" t="s">
        <v>165</v>
      </c>
      <c r="D44" s="17" t="s">
        <v>166</v>
      </c>
      <c r="E44" s="27" t="s">
        <v>57</v>
      </c>
      <c r="F44" s="28">
        <v>3.0</v>
      </c>
      <c r="G44" s="28">
        <v>1.0</v>
      </c>
      <c r="H44" s="17">
        <f t="shared" si="1"/>
        <v>19</v>
      </c>
      <c r="I44" s="28">
        <v>28.0</v>
      </c>
      <c r="J44" s="29">
        <v>89.9</v>
      </c>
      <c r="K44" s="29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 t="s">
        <v>167</v>
      </c>
      <c r="B45" s="17" t="s">
        <v>122</v>
      </c>
      <c r="C45" s="17" t="s">
        <v>168</v>
      </c>
      <c r="D45" s="17" t="s">
        <v>169</v>
      </c>
      <c r="E45" s="27" t="s">
        <v>57</v>
      </c>
      <c r="F45" s="28">
        <v>3.0</v>
      </c>
      <c r="G45" s="28">
        <v>15.0</v>
      </c>
      <c r="H45" s="17">
        <f t="shared" si="1"/>
        <v>5</v>
      </c>
      <c r="I45" s="28">
        <v>13.0</v>
      </c>
      <c r="J45" s="29">
        <v>121.5</v>
      </c>
      <c r="K45" s="29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 t="s">
        <v>170</v>
      </c>
      <c r="B46" s="17" t="s">
        <v>122</v>
      </c>
      <c r="C46" s="17" t="s">
        <v>171</v>
      </c>
      <c r="D46" s="17" t="s">
        <v>172</v>
      </c>
      <c r="E46" s="27" t="s">
        <v>55</v>
      </c>
      <c r="F46" s="28">
        <v>1.0</v>
      </c>
      <c r="G46" s="28">
        <v>2.0</v>
      </c>
      <c r="H46" s="17">
        <f t="shared" si="1"/>
        <v>18</v>
      </c>
      <c r="I46" s="28">
        <v>14.0</v>
      </c>
      <c r="J46" s="29">
        <v>63.6</v>
      </c>
      <c r="K46" s="29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 t="s">
        <v>173</v>
      </c>
      <c r="B47" s="17" t="s">
        <v>122</v>
      </c>
      <c r="C47" s="17" t="s">
        <v>174</v>
      </c>
      <c r="D47" s="17" t="s">
        <v>175</v>
      </c>
      <c r="E47" s="27" t="s">
        <v>53</v>
      </c>
      <c r="F47" s="28">
        <v>1.0</v>
      </c>
      <c r="G47" s="28">
        <v>5.0</v>
      </c>
      <c r="H47" s="17">
        <f t="shared" si="1"/>
        <v>15</v>
      </c>
      <c r="I47" s="28">
        <v>13.0</v>
      </c>
      <c r="J47" s="29">
        <v>67.2</v>
      </c>
      <c r="K47" s="29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17"/>
      <c r="D48" s="17"/>
      <c r="E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17"/>
      <c r="D49" s="17"/>
      <c r="E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17"/>
      <c r="D50" s="17"/>
      <c r="E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17"/>
      <c r="D51" s="17"/>
      <c r="E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17"/>
      <c r="D52" s="17"/>
      <c r="E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17"/>
      <c r="D53" s="17"/>
      <c r="E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17"/>
      <c r="D54" s="17"/>
      <c r="E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17"/>
      <c r="D55" s="17"/>
      <c r="E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17"/>
      <c r="D56" s="17"/>
      <c r="E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17"/>
      <c r="D57" s="17"/>
      <c r="E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17"/>
      <c r="D58" s="17"/>
      <c r="E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17"/>
      <c r="D59" s="17"/>
      <c r="E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17"/>
      <c r="D60" s="17"/>
      <c r="E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17"/>
      <c r="D61" s="17"/>
      <c r="E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17"/>
      <c r="D62" s="17"/>
      <c r="E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17"/>
      <c r="D63" s="17"/>
      <c r="E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17"/>
      <c r="D64" s="17"/>
      <c r="E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17"/>
      <c r="D65" s="17"/>
      <c r="E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17"/>
      <c r="D66" s="17"/>
      <c r="E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17"/>
      <c r="D67" s="17"/>
      <c r="E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17"/>
      <c r="D68" s="17"/>
      <c r="E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17"/>
      <c r="D69" s="17"/>
      <c r="E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17"/>
      <c r="D70" s="17"/>
      <c r="E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17"/>
      <c r="D71" s="17"/>
      <c r="E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17"/>
      <c r="D72" s="17"/>
      <c r="E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17"/>
      <c r="D73" s="17"/>
      <c r="E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17"/>
      <c r="D74" s="17"/>
      <c r="E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17"/>
      <c r="D75" s="17"/>
      <c r="E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17"/>
      <c r="D76" s="17"/>
      <c r="E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17"/>
      <c r="D77" s="17"/>
      <c r="E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17"/>
      <c r="D78" s="17"/>
      <c r="E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17"/>
      <c r="D79" s="17"/>
      <c r="E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17"/>
      <c r="D80" s="17"/>
      <c r="E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17"/>
      <c r="D81" s="17"/>
      <c r="E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17"/>
      <c r="D82" s="17"/>
      <c r="E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17"/>
      <c r="D83" s="17"/>
      <c r="E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17"/>
      <c r="D84" s="17"/>
      <c r="E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17"/>
      <c r="D85" s="17"/>
      <c r="E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17"/>
      <c r="D86" s="17"/>
      <c r="E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17"/>
      <c r="D88" s="17"/>
      <c r="E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17"/>
      <c r="D998" s="17"/>
      <c r="E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17"/>
      <c r="D999" s="17"/>
      <c r="E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17"/>
      <c r="D1000" s="17"/>
      <c r="E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2017-06-15T06:51:11Z</dcterms:created>
  <dc:creator>nic</dc:creator>
</cp:coreProperties>
</file>